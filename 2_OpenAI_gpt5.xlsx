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+ Web Search Data" sheetId="1" r:id="rId5"/>
    <sheet state="visible" name="Citation Sources" sheetId="2" r:id="rId6"/>
    <sheet state="visible" name="Summary Stats" sheetId="3" r:id="rId7"/>
    <sheet state="visible" name="Methodology" sheetId="4" r:id="rId8"/>
    <sheet state="visible" name="APR Classification" sheetId="5" r:id="rId9"/>
  </sheets>
  <definedNames>
    <definedName hidden="1" localSheetId="0" name="_xlnm._FilterDatabase">'AI + Web Search Data'!$A$1:$P$1</definedName>
    <definedName hidden="1" localSheetId="1" name="_xlnm._FilterDatabase">'Citation Sources'!$A$1:$B$1</definedName>
  </definedNames>
  <calcPr/>
</workbook>
</file>

<file path=xl/sharedStrings.xml><?xml version="1.0" encoding="utf-8"?>
<sst xmlns="http://schemas.openxmlformats.org/spreadsheetml/2006/main" count="996" uniqueCount="403">
  <si>
    <t>Bank</t>
  </si>
  <si>
    <t>Product Type</t>
  </si>
  <si>
    <t>Product Page URL</t>
  </si>
  <si>
    <t>Min APR</t>
  </si>
  <si>
    <t>Max APR</t>
  </si>
  <si>
    <t>Max Loan Amount</t>
  </si>
  <si>
    <t>Min Loan Amount</t>
  </si>
  <si>
    <t>Min Age</t>
  </si>
  <si>
    <t>Max Term</t>
  </si>
  <si>
    <t>Searches Run</t>
  </si>
  <si>
    <t>Search Queries
(NOT EXPOSED by OpenAI)</t>
  </si>
  <si>
    <t>Cited URLs
(shaped the answer)</t>
  </si>
  <si>
    <t>Cited Titles</t>
  </si>
  <si>
    <t>All Result URLs
(returned by search engine)</t>
  </si>
  <si>
    <t>Notes</t>
  </si>
  <si>
    <t>Data Source</t>
  </si>
  <si>
    <t>Avida Finans AB</t>
  </si>
  <si>
    <t>consumer_loan</t>
  </si>
  <si>
    <t>https://www.avidafinance.com/sv/privat/</t>
  </si>
  <si>
    <t>250000</t>
  </si>
  <si>
    <t>10000</t>
  </si>
  <si>
    <t>20</t>
  </si>
  <si>
    <t>15 years</t>
  </si>
  <si>
    <t>(OpenAI does not expose
the search query strings.)</t>
  </si>
  <si>
    <t>(OpenAI exposes only url_citations
cited by the model.)</t>
  </si>
  <si>
    <t>Product name: AvidaLånet (unsecured annuity loan). Official documents indicate consumer loans in Sweden with loan sizes SEK 10,000–250,000 and terms up to 15 years; minimum borrower age 20 and minimum</t>
  </si>
  <si>
    <t>OpenAI gpt-5 + web_search (via Responses API)</t>
  </si>
  <si>
    <t>Bjursås Sparbank</t>
  </si>
  <si>
    <t>https://www.bjursassparbank.se/privat/privatlan-och-krediter1/privatlandirekt-ansok.html</t>
  </si>
  <si>
    <t>500000</t>
  </si>
  <si>
    <t>20000</t>
  </si>
  <si>
    <t>18</t>
  </si>
  <si>
    <t>12 years</t>
  </si>
  <si>
    <t xml:space="preserve"> Låna pengar | Ansök om lån till allt | Bjursås Sparbank </t>
  </si>
  <si>
    <t>Nominal räntespann 5.95%–16.09% (rörlig; senaste ränteändring 2025‑10‑03). Exempel på effektiv ränta: 8.42% vid 100 000 kr och 5 års återbetalning. Lånebelopp 20 000–500 000 kr; återbetalningstid 1–12</t>
  </si>
  <si>
    <t>Brixo AB</t>
  </si>
  <si>
    <t>https://brixo.se/privatlan/</t>
  </si>
  <si>
    <t>22.80%</t>
  </si>
  <si>
    <t>150000</t>
  </si>
  <si>
    <t>21</t>
  </si>
  <si>
    <t>Privatlån utan säkerhet. Fast nominell ränta 19.95% för alla kunder. Uppläggningsavgift 475 kr och aviavgift 25 kr/månad. Effektiv ränta varierar med belopp och löptid; representativt exempel 22.8% vi</t>
  </si>
  <si>
    <t>Brocc Finance AB</t>
  </si>
  <si>
    <t>https://brocc.se/lana/</t>
  </si>
  <si>
    <t>3.95%</t>
  </si>
  <si>
    <t>24.99%</t>
  </si>
  <si>
    <t>400000</t>
  </si>
  <si>
    <t>not disclosed</t>
  </si>
  <si>
    <t>25</t>
  </si>
  <si>
    <t>https://brocc.se/lana
https://brocc.se/avgifter-och-kostnader
https://assets.ctfassets.net/6efv05ymvl3z/7iE3DgHyuxwBjZBv6ACm4d/2279600ed387a09db4d8023b0d8c1312/Brocc_Finance_AB_SEKKI_25.pdf
https://brocc.se/fragor-och-svar
https://assets.ctfassets.net/6efv05ymvl3z/2COS96a3wpuSmiaane777T/264baa0e817a36eec30f5529c2affc74/LA%C3%8C_NTAGARAVTAL_2025.pdf</t>
  </si>
  <si>
    <t>Låna pengar smartare | Brocc
Avgifter och kostnader
Standardiserad europeisk konsumentkreditinformation
Frågor &amp; Svar</t>
  </si>
  <si>
    <t>Official loan page states you can borrow up to 400,000 kr. ([brocc.se](https://brocc.se/lana)) Nominal interest rate range currently 3.95%–24.99%; the effective APR depends on fees and loan parameters</t>
  </si>
  <si>
    <t>Credento Bank AB</t>
  </si>
  <si>
    <t>https://credento.se/credento-privatlan</t>
  </si>
  <si>
    <t>14.82%</t>
  </si>
  <si>
    <t>29.27%</t>
  </si>
  <si>
    <t>100000</t>
  </si>
  <si>
    <t>unknown</t>
  </si>
  <si>
    <t>Official site states new lending is paused: 'Vi har stoppat nyutlåningen för Credento' (homepage). SEKKI shows max credit 100,000 SEK and longest term 144 months, with effective APR 14.82–29.27% and n</t>
  </si>
  <si>
    <t>Facit Bank Filial</t>
  </si>
  <si>
    <t>https://lan.facitbank.se/</t>
  </si>
  <si>
    <t>9.82%</t>
  </si>
  <si>
    <t>18.91%</t>
  </si>
  <si>
    <t>None</t>
  </si>
  <si>
    <t>Officiella sidor: Priser och villkor anger nominell rörlig ränta 7,90%–15,90%, löptid 24–120 månader och belopp: Konsumtionslån 10 000–100 000 kr, Samlingslån 10 000–250 000 kr. Exempel på effektiv rä</t>
  </si>
  <si>
    <t>Falkenbergs Sparbank AB</t>
  </si>
  <si>
    <t>https://www.falkenbergssparbank.se/privat/privatlan-och-krediter/privatlandirekt-ansok.html</t>
  </si>
  <si>
    <t>5.95%</t>
  </si>
  <si>
    <t>16.09%</t>
  </si>
  <si>
    <t>350000</t>
  </si>
  <si>
    <t>30000</t>
  </si>
  <si>
    <t>Variable rate set individually; example effective rate 8.15% (8.01% for Nyckelkund) for SEK 100,000 over 5 years. Setup fee SEK 300 (SEK 0 for Nyckelkund). Invoice fee SEK 0 with e-invoice; SEK 45 for</t>
  </si>
  <si>
    <t>Högsby Sparbank</t>
  </si>
  <si>
    <t>https://www.hogsbysparbank.se/privat/privatlan-och-krediter/privatlandirekt-ansok.html</t>
  </si>
  <si>
    <t>8.15%</t>
  </si>
  <si>
    <t>5.00%</t>
  </si>
  <si>
    <t>50000</t>
  </si>
  <si>
    <t>up to 12 years</t>
  </si>
  <si>
    <t xml:space="preserve"> Låna pengar | Ansök om lån till allt | Högsby Sparbank </t>
  </si>
  <si>
    <t>Nominal variable interest range 6.20%–16.34% set individually; setup fee 300 SEK (0 SEK for Nyckelkund), e-invoice fee 0 SEK, postal invoice fee 45 SEK; borrower must be at least 18, have regular inco</t>
  </si>
  <si>
    <t>ICA Banken AB</t>
  </si>
  <si>
    <t>https://www.icabanken.se/lana/privatlan/</t>
  </si>
  <si>
    <t>6.00%</t>
  </si>
  <si>
    <t>17.17%</t>
  </si>
  <si>
    <t>600000</t>
  </si>
  <si>
    <t>Privatlån upp till 600 000 kr – Räkna och ansök | ICA Banken</t>
  </si>
  <si>
    <t>Individuell räntesättning. Krav: fast inkomst minst 240 000 kr/år, inga betalningsanmärkningar och folkbokförd i Sverige. Möjligt att ansöka med medlåntagare. Återbetalningstid 3–15 år. Priser och rän</t>
  </si>
  <si>
    <t>Ikano Bank AB</t>
  </si>
  <si>
    <t>https://ikanobank.se/lana-pengar/privatlan</t>
  </si>
  <si>
    <t>6.49%</t>
  </si>
  <si>
    <t>20.81%</t>
  </si>
  <si>
    <t>Privatlån | Lån utan säkerhet med trygga villkor | Ikano Bank</t>
  </si>
  <si>
    <t>Unsecured personal loan (Privatlån) with variable, individually set nominal rate 6.22%–18.87% (effective APR shown as 6.49%–20.81%). Loan term 2–15 years (loans ≤ 50,000 kr have max term 6 years). Eli</t>
  </si>
  <si>
    <t>Ivetofta Sparbank i Bromölla</t>
  </si>
  <si>
    <t>https://www.ivetoftasparbank.se/privat/privatlan-och-krediter/privatlandirekt-ansok.html</t>
  </si>
  <si>
    <t>Rates set individually after credit assessment. Must be 18, have regular income (not benefits/study aid), and no payment defaults; credit check taken. Setup fee 300 SEK (0 SEK for Nyckelkund). e-invoi</t>
  </si>
  <si>
    <t>Laholms Sparbank</t>
  </si>
  <si>
    <t>https://www.laholmssparbank.se/privat/privatlan-och-krediter/privatlandirekt-ansok.html</t>
  </si>
  <si>
    <t xml:space="preserve"> Låna pengar | Ansök om lån till allt | Laholms Sparbank </t>
  </si>
  <si>
    <t xml:space="preserve">Rörlig individuell nominell ränta 5,95–16,09% (senaste ändring 2025-10-03). Exempel effektiv ränta: 8,15% vid lån 100 000 kr i 5 år. Krav: vara kund, minst 18 år, regelbunden inkomst (ej bidrag/CSN), </t>
  </si>
  <si>
    <t>Länsförsäkringar Bank Aktiebolag</t>
  </si>
  <si>
    <t>https://www.lansforsakringar.se/privat/bank/lana/privatlan/</t>
  </si>
  <si>
    <t>7.34%</t>
  </si>
  <si>
    <t>7.91%</t>
  </si>
  <si>
    <t>400000 SEK</t>
  </si>
  <si>
    <t>30000 SEK</t>
  </si>
  <si>
    <t>Nominal interest 6.95%–13.95% (variable, individual). Fees: setup 375 SEK; admin 25 SEK/month (0 SEK with autogiro). Eligibility: Swedish Mobile BankID, age ≥20, no payment remarks, registered in Swed</t>
  </si>
  <si>
    <t>Länsförsäkringar Finans AB</t>
  </si>
  <si>
    <t>https://www.lffinans.se/privat/lana/privatlan/</t>
  </si>
  <si>
    <t>6.95%</t>
  </si>
  <si>
    <t>14.75%</t>
  </si>
  <si>
    <t>https://www.lffinans.se/privat/lana/privatlan/
https://www.lffinans.se/produktinformation/direktlan/mer-om-rante/
https://www.lffinans.se/privat/kundservice/alla-fragor/vanliga-fragor-faq/
https://www.lffinans.se/om-oss/nyheter/2025/lf-finans-en-tydligare-del-av-lansforsakringar/
https://www.lffinans.se/privat/kundservice/alla-fragor/vanliga-fragor-faq/</t>
  </si>
  <si>
    <t>Privatlån - ansök om lån utan säkerhet  | LF Finans
Mer om räntor och avgifter | LF Finans
Alla frågor - privatperson | LF Finans
LF Finans – en tydligare del av Länsförsäkringar | LF Finans
Alla frågor - privatperson | LF Finans</t>
  </si>
  <si>
    <t>Unsecured consumer loan “Direktlånet” from Länsförsäkringar Finans AB (LF Finans). Product page states loan amounts SEK 30,000–400,000, base requirements incl. minimum age 20, no payment defaults, res</t>
  </si>
  <si>
    <t>Lekebergs Sparbank</t>
  </si>
  <si>
    <t>https://www.lekebergssparbank.se/privat/privatlan-och-krediter/privatlandirekt-ansok.html</t>
  </si>
  <si>
    <t>Variable, individualized rate; example effective APR 8.15% at 100,000 SEK over 5 years. Setup fee 300 SEK (0 SEK for Nyckelkund). e-invoice fee 0 SEK (45 SEK for paper invoices). Requires regular inco</t>
  </si>
  <si>
    <t>Lönneberga-Tuna-Vena Sparbank</t>
  </si>
  <si>
    <t>https://www.ltvsparbank.se/privat/privatlan-och-krediter/privatlandirekt-ansok.html</t>
  </si>
  <si>
    <t>6.15%</t>
  </si>
  <si>
    <t>14.85%</t>
  </si>
  <si>
    <t>10 years</t>
  </si>
  <si>
    <t>Privatlån utan säkerhet. Individuell ränta efter kreditprövning; kräver regelbunden inkomst (ej bidrag/studiemedel) och inga betalningsanmärkningar. Lånebelopp 20 000–350 000 SEK; löptid upp till 10 å</t>
  </si>
  <si>
    <t>Markaryds Sparbank</t>
  </si>
  <si>
    <t>https://www.markarydssparbank.se/privat/privatlan-och-krediter.html</t>
  </si>
  <si>
    <t>8.01%</t>
  </si>
  <si>
    <t>Nominal interest rate range 5.95%–16.09% (variable; latest change 2025-10-03). Rate set individually. Example effective rate shown: 8.15% (8.01% for Nyckelkund) at 100,000 SEK over 5 years; actual APR</t>
  </si>
  <si>
    <t>Moank AB</t>
  </si>
  <si>
    <t>https://www.moank.se/privatlan</t>
  </si>
  <si>
    <t>As of April 20, 2026, Moank AB is not offering new consumer loans; its official Privatlån page states lending is paused. Existing Moank loans were transferred to Morrow Bank from December 1, after whi</t>
  </si>
  <si>
    <t>Morrow Bank AB</t>
  </si>
  <si>
    <t>https://morrowbank.se/lan/privatlan</t>
  </si>
  <si>
    <t>10.49%</t>
  </si>
  <si>
    <t>10.59%</t>
  </si>
  <si>
    <t>20 years</t>
  </si>
  <si>
    <t>Unsecured annuity loan. Variable nominal interest 6.75%–18.25%; setup fee 580 SEK; monthly admin fee 35 SEK; no annual fee; optional paper invoice 13 SEK. Repayment date is the 27th of each month. Ear</t>
  </si>
  <si>
    <t>Nordea Bank Abp, filial i Sverige</t>
  </si>
  <si>
    <t>https://www.nordea.se/privat/produkter/lan/privatlan.html</t>
  </si>
  <si>
    <t>5.24%</t>
  </si>
  <si>
    <t>13.97%</t>
  </si>
  <si>
    <t>Unsecured loan (Privatlån). Individual variable interest; nominal rate 4.95%–12.95%. Arrangement fee 525 SEK; e-invoice/online notice 0 SEK; reminder fee 60 SEK. Must be a Nordea customer for 90 days,</t>
  </si>
  <si>
    <t>Nordea Finans Sverige AB</t>
  </si>
  <si>
    <t>https://www.nordeafinance.se/privat/produkter/bilfinansiering/billan.html</t>
  </si>
  <si>
    <t>6.65%</t>
  </si>
  <si>
    <t>7.18%</t>
  </si>
  <si>
    <t>100000 SEK</t>
  </si>
  <si>
    <t>8 years</t>
  </si>
  <si>
    <t xml:space="preserve">Billån | Nordea Finans </t>
  </si>
  <si>
    <t>Secured car loan via authorized dealer; borrower must be or become a Nordea customer; 20% cash down payment required; 0.5% rate discount for 100% electric cars; vehicle age at end of term max 15 years</t>
  </si>
  <si>
    <t>Northmill Bank AB</t>
  </si>
  <si>
    <t>https://www.northmill.com/se/lan/kontokredit/</t>
  </si>
  <si>
    <t>9.71%</t>
  </si>
  <si>
    <t>29.34%</t>
  </si>
  <si>
    <t>1000</t>
  </si>
  <si>
    <t>https://www.northmill.com/se/lan/kontokredit/
https://www.northmill.com/se/lan/kontokredit/
https://www.northmill.com/media/0z0iksfb/produktvillkor-fo-r-northmills-kontokredit-2026-03-ga-llande-fo-r-avtal-inga-ngna-fra-n-och-med-2025-02-28.pdf</t>
  </si>
  <si>
    <t>Kontokredit upp till 50 000 kr – Ansök om ett flexibelt kreditlån - Northmill Bank
Kontokredit upp till 50 000 kr – Ansök om ett flexibelt kreditlån - Northmill Bank
Produktvillkor för Northmills Kontokredit.indd</t>
  </si>
  <si>
    <t>Revolving kontokredit with individual nominal interest 7.90%–21.90%; fees: 245 kr uttagsavgift per withdrawal and 29 kr monthly admin fee when credit is used; minimum monthly payment 200 kr; applicant</t>
  </si>
  <si>
    <t>Resurs Bank Aktiebolag</t>
  </si>
  <si>
    <t>https://www.resursbank.se/lana-pengar/privatlan</t>
  </si>
  <si>
    <t>32.54%</t>
  </si>
  <si>
    <t>15 år</t>
  </si>
  <si>
    <t>Privatlån utan säkerhet - låna upp till 400 000 kr - Resurs</t>
  </si>
  <si>
    <t xml:space="preserve">Individuell och rörlig nominell ränta 5,99%–15,65%; effektiv ränta kan uppgå till högst 32,54%. Lån utan säkerhet. Återbetalningstid 2–15 år. Krav: minst 20 år, fast inkomst minst 240 000 kr/år, inga </t>
  </si>
  <si>
    <t>Roslagens Sparbank</t>
  </si>
  <si>
    <t>https://www.roslagenssparbank.se/privat/privatlan-och-krediter/privatlandirekt-ansok.html</t>
  </si>
  <si>
    <t>7.37%</t>
  </si>
  <si>
    <t>7.23%</t>
  </si>
  <si>
    <t>350000 SEK</t>
  </si>
  <si>
    <t>Variable rate set individually; nominal rate range 6.34%–15.84% (last changed 2025-10-06). Requires age 18+, regular income (not benefits/student aid), no payment defaults; credit check. Setup fee 300</t>
  </si>
  <si>
    <t>Sala Sparbank</t>
  </si>
  <si>
    <t>https://www.salasparbank.se/privat/privatlan-och-krediter/privatlandirekt-ansok.html</t>
  </si>
  <si>
    <t>Unsecured Privatlån with variable nominal interest 5.95–16.09% (set individually). Loan amount SEK 20,000–500,000; term up to 12 years. Setup fee SEK 300 (SEK 0 for Nyckelkund); e‑invoice fee SEK 0; p</t>
  </si>
  <si>
    <t>Santander Consumer Bank AS Norge, Sverige Filial</t>
  </si>
  <si>
    <t>https://www.santanderconsumer.se/lana/privatlan</t>
  </si>
  <si>
    <t>5.48%</t>
  </si>
  <si>
    <t>15.33%</t>
  </si>
  <si>
    <t>Unsecured Privatlån (blancolån). Loan amounts SEK 10,000–350,000 with terms 1–12 years. Individual variable rate set after credit assessment (UC). No setup or invoice fee when applying online and payi</t>
  </si>
  <si>
    <t>SBAB Bank AB</t>
  </si>
  <si>
    <t>https://www.sbab.se/1/privat/lana/privatlan/privatlan_-_sa_funkar_det.html</t>
  </si>
  <si>
    <t>4.59%</t>
  </si>
  <si>
    <t>9.83%</t>
  </si>
  <si>
    <t>Unsecured personal loan (privatlån). Amount 30,000–500,000 SEK; term 2–10 years. Currently offered only to existing SBAB loan customers. Minimum yearly income 225,000 SEK and no payment defaults requi</t>
  </si>
  <si>
    <t>Sidensjö Sparbank</t>
  </si>
  <si>
    <t>https://www.sidensjosparbank.se/privat/privatlan-och-krediter/privatlandirekt-ansok.html</t>
  </si>
  <si>
    <t xml:space="preserve"> Låna pengar | Ansök om lån till allt | Sidensjö Sparbank </t>
  </si>
  <si>
    <t>Variable, individually priced nominal rate 5.95–16.09% with loan amounts 20,000–500,000 SEK and terms up to 12 years. Setup fee 300 SEK (0 SEK for Nyckelkund). E-invoice 0 SEK; paper invoice 45 SEK. M</t>
  </si>
  <si>
    <t>Skandinaviska Enskilda Banken AB</t>
  </si>
  <si>
    <t>https://seb.se/privat/privatlan-och-krediter/privatlan-enkla-lanet</t>
  </si>
  <si>
    <t>8.79%</t>
  </si>
  <si>
    <t>8.32%</t>
  </si>
  <si>
    <t>https://seb.se/privat/tjanster/aktuella-rantor</t>
  </si>
  <si>
    <t>Aktuella räntor för privatpersoner | SEB</t>
  </si>
  <si>
    <t>Unsecured “blancolån” (Privatlån Enkla lånet). Nominal interest range 6.20–13.65% (last changed Aug 2025). Loan term 2–10 years. Requirements include: min age 20, fixed monthly income ≥ 29,200 SEK, no</t>
  </si>
  <si>
    <t>Skurups Sparbank</t>
  </si>
  <si>
    <t>https://www.skurupssparbank.se/privat/privatlan-och-krediter/privatlandirekt-ansok.html</t>
  </si>
  <si>
    <t>5.20%</t>
  </si>
  <si>
    <t>15.34%</t>
  </si>
  <si>
    <t xml:space="preserve"> Låna pengar | Ansök om lån till allt | Skurups Sparbank </t>
  </si>
  <si>
    <t>Variable rate set individually; current stated range 5.20%–15.34% (last changed 2025-10-09). Example effective rate on SEK 100,000 over 5 years is 8.15%; setup fee SEK 300 (SEK 0 for Nyckelkund), e-in</t>
  </si>
  <si>
    <t>Sörmlands Sparbank AB</t>
  </si>
  <si>
    <t>https://www.sormlandssparbank.se/privat/privatlan-och-krediter/privatlandirekt-ansok.html</t>
  </si>
  <si>
    <t>Unsecured personal loan (Privatlån). Variable, individually set rate; Nyckelkund customers get fee discounts and a slightly lower example effective APR (8.01%). Loan amount SEK 20,000–500,000; repayme</t>
  </si>
  <si>
    <t>Sparbanken Bergslagen AB</t>
  </si>
  <si>
    <t>https://www.sparbankenbergslagen.se/privat/privatlan-och-krediter/privatlandirekt-ansok.html</t>
  </si>
  <si>
    <t>12 år</t>
  </si>
  <si>
    <t>Nominell ränta 5.95%–16.09% (rörlig, individuell; senaste ränteändring 2025-10-03). Uppläggningsavgift 300 kr (0 kr för Nyckelkund). Aviavgift 0 kr med e‑faktura; 45 kr för postala avier. Återbetalnin</t>
  </si>
  <si>
    <t>Sparbanken Gotland</t>
  </si>
  <si>
    <t>https://www.sparbankengotland.se/privat/privatlan-och-krediter/privatlandirekt-ansok.html</t>
  </si>
  <si>
    <t>6.40%</t>
  </si>
  <si>
    <t>16.95%</t>
  </si>
  <si>
    <t>Privatlån utan säkerhet. Räntespann 6.40%-16.95% (rörlig) senast ändrat 2025-02-24. Lånebelopp 20 000–500 000 kr; återbetalningstid upp till 12 år. Exempel effektiv ränta 8.15% för 100 000 kr över 5 å</t>
  </si>
  <si>
    <t>Sparbanken Mälardalen AB</t>
  </si>
  <si>
    <t>https://www.sparbankenmalardalen.se/privat/privatlan-och-krediter/privatlandirekt-ansok.html</t>
  </si>
  <si>
    <t xml:space="preserve"> Låna pengar | Ansök om lån till allt | Sparbanken Mälardalen </t>
  </si>
  <si>
    <t>Rates are variable and individually priced; example effective APR 8.15% (8.01% for Nyckelkund) on 100,000 kr over 5 years. Fees: setup fee 300 kr (0 kr for Nyckelkund); e-invoice 0 kr; paper invoice 4</t>
  </si>
  <si>
    <t>Sparbanken Nord</t>
  </si>
  <si>
    <t>https://www.sparbankennord.se/privat/privatlan-och-krediter/privatlandirekt-ansok.html</t>
  </si>
  <si>
    <t>8.64%</t>
  </si>
  <si>
    <t>Ränta rörlig 5,45–10,30% (senast ändrad 2025‑10‑17). Lånebelopp 20 000–500 000 kr, återbetalningstid 1–12 år. Uppläggningsavgift 495 kr; e‑faktura 0 kr (45 kr för postala avier). Krav: minst 18 år, re</t>
  </si>
  <si>
    <t>Sparbanken Sjuhärad AB</t>
  </si>
  <si>
    <t>https://www.sparbankensjuharad.se/privat/privatlan-och-krediter/privatlan.html</t>
  </si>
  <si>
    <t>7.26%</t>
  </si>
  <si>
    <t xml:space="preserve"> Låna pengar | Ansök om lån till allt | Sparbanken Sjuhärad </t>
  </si>
  <si>
    <t>Nominal interest is variable 6.90%–15.90% (latest change 2025-10-21). Loan amount 30,000–500,000 SEK; repayment time 1–12 years. Setup fee 300 SEK; e-invoice fee 0 SEK (postal invoice 45 SEK). Must be</t>
  </si>
  <si>
    <t>Sparbanken Skåne AB</t>
  </si>
  <si>
    <t>https://www.sparbankenskane.se/privat/privatlan-och-krediter/privatlandirekt-ansok.html</t>
  </si>
  <si>
    <t>17.15%</t>
  </si>
  <si>
    <t>Privatlån utan säkerhet. Räntan är rörlig och sätts individuellt; räntespann 5,95–17,15% (senaste ränteändring 2025-10-10). Exempel: effektiv ränta 8,01% vid 100 000 kr, 5 år, rak amortering. Uppläggn</t>
  </si>
  <si>
    <t>Sparbanken Skaraborg AB</t>
  </si>
  <si>
    <t>https://www.sparbankenskaraborg.se/privat/privatlan-och-krediter/privatlandirekt-ansok.html</t>
  </si>
  <si>
    <t>500000 SEK</t>
  </si>
  <si>
    <t>20000 SEK</t>
  </si>
  <si>
    <t>Unsecured Privatlån with variable, individually set rate. Example effective APR 8.15% at 100,000 SEK over 5 years; nominal rate range 5.95%–16.09% (last rate change 2025-10-03). Loan amount 20,000–500</t>
  </si>
  <si>
    <t>Sparbanken Spira AB</t>
  </si>
  <si>
    <t>https://www.sparbankenspira.se/privat/privatlan-och-krediter/privatlandirekt-ansok.html</t>
  </si>
  <si>
    <t>Variable, individually set rate; rate span last changed 2025-10-03. Example effective APR: 8.15% for 100,000 SEK over 5 years (nominal 7.73%); setup fee 300 SEK; e-invoice 0 SEK; postal invoice 45 SEK</t>
  </si>
  <si>
    <t>Sparbanken Syd</t>
  </si>
  <si>
    <t>https://www.sparbankensyd.se/privat/vara-tjanster/privatlan/privatlan</t>
  </si>
  <si>
    <t>5.67%</t>
  </si>
  <si>
    <t>Unsecured Privatlån. Nominal rate from 5.39% (as of 2025-02-19). Loan amounts 30,000–350,000 SEK. Term 2–10 years; can be repaid early. Minimum income 180,000 SEK/year; must be a Sparbanken Syd custom</t>
  </si>
  <si>
    <t>Sparbanken Tanum</t>
  </si>
  <si>
    <t>https://www.sparbankentanum.se/privat/privatlan-och-krediter/privatlandirekt-ansok.html</t>
  </si>
  <si>
    <t>6.20%</t>
  </si>
  <si>
    <t>16.34%</t>
  </si>
  <si>
    <t xml:space="preserve"> Ansök om ett lokalt privatlån | Sparbanken Tanum </t>
  </si>
  <si>
    <t>Variable, individually set rate; loan amount SEK 20,000–350,000; setup fee SEK 588; e-invoice 0 SEK (45 SEK for paper). Must be a customer, at least 18, have regular income (not benefits/study aid), n</t>
  </si>
  <si>
    <t>Svea Bank AB</t>
  </si>
  <si>
    <t>https://www.svea.com/sv-se/privat/låna/privatlån/svealånet</t>
  </si>
  <si>
    <t>https://www.svea.com/sv-se/privat/l%C3%A5na/privatl%C3%A5n
https://svddocs.svea.com/se/pdf/Prislista_Svealanet.pdf
https://www.svea.com/sv-se/privat/l%C3%A5na/privatl%C3%A5n/sveal%C3%A5net
https://www.svea.com/sv-se/privat/l%C3%A5na/privatl%C3%A5n/sveal%C3%A5net/r%C3%A4ntegaranti?utm_source=openai
https://www.svea.com/sv-se/privat/l%C3%A5na/privatl%C3%A5n/sveal%C3%A5net
https://www.svea.com/sv-se/privat/artiklar-och-tips/content/efter-%C3%A5rsskiftet-tas-r%C3%A4nteavdraget-bort?utm_source=openai</t>
  </si>
  <si>
    <t>Privatlån med räntegaranti - sök lån hos Svea Bank | Svea Bank
Microsoft Word - Tom mall
Svealånet för dig som: | Svea Bank
Räntegaranti | Svea Bank
Svealånet för dig som: | Svea Bank
Efter årsskiftet tas ränteavdraget bort – så kan du förbereda dig | Svea Bank</t>
  </si>
  <si>
    <t>Official Privatlån terms: Svealånet loan amount 10 000–400 000 kr; Samla dina lån 16 000–400 000 kr; Svårt att få lån 10 000–300 000 kr (see table on product page). ([svea.com](https://www.svea.com/sv</t>
  </si>
  <si>
    <t>Svenska Handelsbanken AB</t>
  </si>
  <si>
    <t>https://www.handelsbanken.se/sv/privat/andra-lan/privatlan</t>
  </si>
  <si>
    <t>8.17%</t>
  </si>
  <si>
    <t>Privatlån - ett banklån utan säkerhet | Handelsbanken</t>
  </si>
  <si>
    <t>Handelsbanken offers two personal loans: Privatlån Direkt (single applicant, unsecured) and Privatlån (one or more applicants, may add security). Requirements include: 18+, registered in Sweden, salar</t>
  </si>
  <si>
    <t>Swedbank AB</t>
  </si>
  <si>
    <t>https://www.swedbank.se/privat/privatlan-och-krediter/privatlandirekt-ansok.html</t>
  </si>
  <si>
    <t>Nominal variable interest range 5.95%–16.09% (last changed 2025-10-03). Loan amount 20,000–500,000 SEK; repayment up to 12 years. Must be a Swedbank customer, minimum age 18, regular income (not benef</t>
  </si>
  <si>
    <t>TF Bank AB</t>
  </si>
  <si>
    <t>https://tfbank.se/lan</t>
  </si>
  <si>
    <t>15.75%</t>
  </si>
  <si>
    <t>200000</t>
  </si>
  <si>
    <t>Official page states unsecured loans up to 200 000 kr with 1–10 years term and individually priced nominal interest 9.90%–16.40%. Representative effective APR example: 15.75% at 60 000 kr over 5 years</t>
  </si>
  <si>
    <t>TF Bank Nordic AB</t>
  </si>
  <si>
    <t>13.50%</t>
  </si>
  <si>
    <t>Kreditgivare: TF Bank Nordic AB (559476-6379). Nominal annual interest range stated as 9.90%–16.40% (individual pricing). Fees: setup 390 SEK and monthly admin 29 SEK (included in APR example). Maximu</t>
  </si>
  <si>
    <t>Ulricehamns Sparbank</t>
  </si>
  <si>
    <t>https://www.ulricehamnssparbank.se/privat/privatlan-och-krediter/privatlandirekt-ansok.html</t>
  </si>
  <si>
    <t xml:space="preserve"> Låna pengar | Ansök om lån till allt | Ulricehamns Sparbank </t>
  </si>
  <si>
    <t>Range shown is the variable nominal interest (räntespann). Effective APR depends on fees; example effective rate is 8.15% for a 100,000 SEK loan over 5 years. Must be a customer, at least 18 years old</t>
  </si>
  <si>
    <t>Vadstena Sparbank</t>
  </si>
  <si>
    <t>https://www.vadstenasparbank.se/privat/privatlan-och-krediter/privatlandirekt-ansok.html</t>
  </si>
  <si>
    <t>Räntan är rörlig och sätts individuellt; nominell ränta 5,95%–16,09% (senast ändrad 2025‑10‑03). Effektiv ränta enligt räkneexempel: 8,15% vid 100 000 kr och 5 år. Uppläggningsavgift 300 kr; e‑faktura</t>
  </si>
  <si>
    <t>Vimmerby Sparbank AB</t>
  </si>
  <si>
    <t>https://www.vimmerbysparbank.se/privat/privatlan-och-krediter/privatlandirekt-ansok.html</t>
  </si>
  <si>
    <t xml:space="preserve">Unsecured personal loan (Privatlån). Interest is variable and set individually; stated range is nominal rate. Example effective APR: 8.15% on 100,000 SEK over 5 years. Borrower must be a customer, at </t>
  </si>
  <si>
    <t>Virserums Sparbank</t>
  </si>
  <si>
    <t>https://www.virserumssparbank.se/privat/privatlan-och-krediter/privatlandirekt-ansok.html</t>
  </si>
  <si>
    <t>6.18%</t>
  </si>
  <si>
    <t>14.70%</t>
  </si>
  <si>
    <t>Räntan är rörlig och sätts individuellt. Angivet spann avser nominell ränta; effektiv ränta beror på belopp och löptid. Exempel på effektiv ränta: ca 8,28 % vid 100 000 kr, 5 år, uppläggningsavgift 55</t>
  </si>
  <si>
    <t>Westra Wermlands Sparbank</t>
  </si>
  <si>
    <t>https://www.wwsparbank.se/privat/privatlan-och-krediter/privatlandirekt-ansok.html</t>
  </si>
  <si>
    <t>5.45%</t>
  </si>
  <si>
    <t>15.59%</t>
  </si>
  <si>
    <t>https://www.wwsparbank.se/privat/rantor-priser-och-kurser/lanetjanster.html</t>
  </si>
  <si>
    <t xml:space="preserve"> Lånetjänster - jämför våra lån och låna enkelt | Prislista | Westra Wermlands Sparbank </t>
  </si>
  <si>
    <t>Räntan är rörlig och sätts individuellt. Effektiv ränta publiceras som exempel (8,15 % vid 100 000 kr/5 år; 8,01 % för Nyckelkund). Lånebelopp 20 000–500 000 kr och återbetalningstid upp till 12 år en</t>
  </si>
  <si>
    <t>Domain</t>
  </si>
  <si>
    <t>Times CITED
(shaped answers)</t>
  </si>
  <si>
    <t>icabanken.se</t>
  </si>
  <si>
    <t>ikanobank.se</t>
  </si>
  <si>
    <t>northmill.com</t>
  </si>
  <si>
    <t>resursbank.se</t>
  </si>
  <si>
    <t>seb.se</t>
  </si>
  <si>
    <t>sparbankenmalardalen.se</t>
  </si>
  <si>
    <t>sparbankensjuharad.se</t>
  </si>
  <si>
    <t>handelsbanken.se</t>
  </si>
  <si>
    <t>svea.com</t>
  </si>
  <si>
    <t>svddocs.svea.com</t>
  </si>
  <si>
    <t>brocc.se</t>
  </si>
  <si>
    <t>assets.ctfassets.net</t>
  </si>
  <si>
    <t>bjursassparbank.se</t>
  </si>
  <si>
    <t>hogsbysparbank.se</t>
  </si>
  <si>
    <t>lffinans.se</t>
  </si>
  <si>
    <t>nordeafinance.se</t>
  </si>
  <si>
    <t>laholmssparbank.se</t>
  </si>
  <si>
    <t>sidensjosparbank.se</t>
  </si>
  <si>
    <t>skurupssparbank.se</t>
  </si>
  <si>
    <t>sparbankentanum.se</t>
  </si>
  <si>
    <t>ulricehamnssparbank.se</t>
  </si>
  <si>
    <t>wwsparbank.se</t>
  </si>
  <si>
    <t>OpenAI gpt-5 + web_search — Summary</t>
  </si>
  <si>
    <t>Count</t>
  </si>
  <si>
    <t>Metric</t>
  </si>
  <si>
    <t>Value</t>
  </si>
  <si>
    <t>Total lenders</t>
  </si>
  <si>
    <t>Web searches triggered</t>
  </si>
  <si>
    <t>Total web searches run</t>
  </si>
  <si>
    <t>Total cited URLs/domains</t>
  </si>
  <si>
    <t>Banks with any citation</t>
  </si>
  <si>
    <t>Avg searches per lender</t>
  </si>
  <si>
    <t>Banks with empty Min APR</t>
  </si>
  <si>
    <t>Methodology</t>
  </si>
  <si>
    <t>Model</t>
  </si>
  <si>
    <t>gpt-5 (OpenAI Responses API reasoning model)</t>
  </si>
  <si>
    <t>Endpoint</t>
  </si>
  <si>
    <t>https://api.openai.com/v1/responses</t>
  </si>
  <si>
    <t>Web search tool</t>
  </si>
  <si>
    <t>tools: [{type: 'web_search'}] — OpenAI's built-in browsing tool.</t>
  </si>
  <si>
    <t>Date run</t>
  </si>
  <si>
    <t>April 2026</t>
  </si>
  <si>
    <t>Citation behavior</t>
  </si>
  <si>
    <t>gpt-5 + web_search exposes url_citation annotations with {url, title, start_index, end_index}. The gpt-5-chat-latest variant strips all annotations.</t>
  </si>
  <si>
    <t>Reliability</t>
  </si>
  <si>
    <t>Concurrency=3, 51/51 successful.</t>
  </si>
  <si>
    <t>Input data</t>
  </si>
  <si>
    <t>Dataset With Banks For AI Search - Sheet1.csv — 51 Swedish/Scandinavian credit institutions</t>
  </si>
  <si>
    <t>Purpose</t>
  </si>
  <si>
    <t>Mimics a real user asking 'What are the loan terms for [Bank]?' — the model decides whether to search and returns structured JSON.</t>
  </si>
  <si>
    <t>Caveat</t>
  </si>
  <si>
    <t>Rates and terms change. This data reflects live web results as of the run date.</t>
  </si>
  <si>
    <t>OpenAI gpt-5 + web_search — run_2 — APR rate-type classification</t>
  </si>
  <si>
    <t>Labels: effective = 'effektiv ränta' (Swedish APR). nominal = 'nominell' / 'årsränta' / 'rörlig ränta' / 'fast ränta' / 'kreditränta'. representative_example = 'räkneexempel' / 'representativt exempel'. unlabeled = no anchor within 80 chars of the APR number in this provider's cached response.</t>
  </si>
  <si>
    <t>Classification reads only this provider's own cached response (apr_range → notes → citation snippets). Ground-truth data is NOT consulted.</t>
  </si>
  <si>
    <t>APR Raw (from model)</t>
  </si>
  <si>
    <t>Rate Type</t>
  </si>
  <si>
    <t>Anchor Evidence</t>
  </si>
  <si>
    <t>Source Field</t>
  </si>
  <si>
    <t>6.00% - 17.17%</t>
  </si>
  <si>
    <t>unlabeled</t>
  </si>
  <si>
    <t>no_anchor_near_apr</t>
  </si>
  <si>
    <t>6.49% - 20.81%</t>
  </si>
  <si>
    <t>effective</t>
  </si>
  <si>
    <t>APR</t>
  </si>
  <si>
    <t>notes</t>
  </si>
  <si>
    <t>5.95% - 16.09%</t>
  </si>
  <si>
    <t>9.71% - 29.34%</t>
  </si>
  <si>
    <t>7.34% - 7.91% (example at 100,000 SEK over 5 years; actual APR varies by rate/fees)</t>
  </si>
  <si>
    <t>apr_range</t>
  </si>
  <si>
    <t>Effektiv ränta upp till 32,54%</t>
  </si>
  <si>
    <t>Effektiv ränta</t>
  </si>
  <si>
    <t>4.59% - 9.83%</t>
  </si>
  <si>
    <t>Not published by SEB; representative example shows 8.79% (at 8.32% nominal, 100,000 SEK, 5 years, 300 SEK setup fee).</t>
  </si>
  <si>
    <t>representative_example</t>
  </si>
  <si>
    <t>representative example</t>
  </si>
  <si>
    <t>Ej angivet spann; exempel 8.15% (100 000 kr, 5 år)</t>
  </si>
  <si>
    <t>Varies; example 7.26% (at 100,000 SEK, 5 years)</t>
  </si>
  <si>
    <t>Not specified (example effective rate 10.49%–10.59%)</t>
  </si>
  <si>
    <t>5.95% - 16.09% (nominal; effective APR varies; example 8.15%)</t>
  </si>
  <si>
    <t>5.95% - 17.15%</t>
  </si>
  <si>
    <t>effektiv ränta</t>
  </si>
  <si>
    <t>8.17% (effective, example for Privatlån Direkt)</t>
  </si>
  <si>
    <t>no_apr_in_response</t>
  </si>
  <si>
    <t>Not stated as a range; example effective APR 8.15% (100,000 SEK over 5 years)</t>
  </si>
  <si>
    <t>5.95% - 16.09% nominal; example effective APR 8.15% (SEK 100,000, 5 yrs)</t>
  </si>
  <si>
    <t>not stated; example effective APR 15.75% (at 13.50% nominal, 60,000 SEK, 5 years)</t>
  </si>
  <si>
    <t>not stated; representative example 15.75%</t>
  </si>
  <si>
    <t>3.95% - 24.99% (nominal)</t>
  </si>
  <si>
    <t>14.82% - 29.27%</t>
  </si>
  <si>
    <t>22.8% (representative example)</t>
  </si>
  <si>
    <t>Not stated; example effective rate 8.15% (100,000 SEK, 5 years)</t>
  </si>
  <si>
    <t>Varies by applicant; example effective APR 8.15% at 100,000 SEK/5 years; nominal interest range 5.95% - 16.09% (last changed 2025-10-03)</t>
  </si>
  <si>
    <t>6.95% - 14.75%</t>
  </si>
  <si>
    <t>6.65% - 7.18%</t>
  </si>
  <si>
    <t>8.01% - 8.15% (example at 100,000 SEK, 5 years)</t>
  </si>
  <si>
    <t>not stated (example APR 7.37%; 7.23% for Nyckelkund)</t>
  </si>
  <si>
    <t>Not disclosed; example effective rate 8.15% (8.01% for Nyckelkund) on SEK 100,000 over 5 years</t>
  </si>
  <si>
    <t>6.15% - 14.85%</t>
  </si>
  <si>
    <t>not published; example 8.15% (at 100,000 SEK, 5 years)</t>
  </si>
  <si>
    <t>5.20% - 15.34%</t>
  </si>
  <si>
    <t>nominal</t>
  </si>
  <si>
    <t>Variable rate</t>
  </si>
  <si>
    <t>6.40% - 16.95% (nominell; effektiv ränta varierar, ex. 8.15%)</t>
  </si>
  <si>
    <t>Ej angiven (exempel 8,64% för 100 000 kr, 5 år)</t>
  </si>
  <si>
    <t>6.20% - 16.34% (nominal; example effective APR 8.56%)</t>
  </si>
  <si>
    <t>from 5.67% effective APR (example; pricing individualized)</t>
  </si>
  <si>
    <t>6.18% - 14.70%</t>
  </si>
  <si>
    <t>5.45% - 15.59%</t>
  </si>
  <si>
    <t>9.82% - 18.91%</t>
  </si>
  <si>
    <t>5.24% - 13.97%</t>
  </si>
  <si>
    <t>5.48% - 15.33%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</si>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</sst>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3.0"/>
      <color rgb="FFFFFFFF"/>
      <name val="Arial"/>
    </font>
    <font/>
    <font>
      <b/>
      <sz val="13.0"/>
      <color theme="1"/>
      <name val="Calibri"/>
      <scheme val="minor"/>
    </font>
    <font>
      <sz val="11.0"/>
      <color theme="1"/>
      <name val="Calibri"/>
    </font>
    <font>
      <b/>
      <color rgb="FFFFFFFF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DAEEF3"/>
        <bgColor rgb="FFDAEE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DE7"/>
        <bgColor rgb="FFFFFDE7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305496"/>
        <bgColor rgb="FF305496"/>
      </patternFill>
    </fill>
  </fills>
  <borders count="6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vertical="top"/>
    </xf>
    <xf borderId="1" fillId="4" fontId="2" numFmtId="0" xfId="0" applyAlignment="1" applyBorder="1" applyFill="1" applyFont="1">
      <alignment vertical="top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vertical="top"/>
    </xf>
    <xf borderId="1" fillId="5" fontId="3" numFmtId="0" xfId="0" applyAlignment="1" applyBorder="1" applyFill="1" applyFont="1">
      <alignment vertical="top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ont="1">
      <alignment readingOrder="0" shrinkToFit="0" vertical="top" wrapText="1"/>
    </xf>
    <xf borderId="2" fillId="2" fontId="4" numFmtId="0" xfId="0" applyAlignment="1" applyBorder="1" applyFont="1">
      <alignment horizontal="center"/>
    </xf>
    <xf borderId="3" fillId="0" fontId="5" numFmtId="0" xfId="0" applyBorder="1" applyFont="1"/>
    <xf borderId="4" fillId="0" fontId="5" numFmtId="0" xfId="0" applyBorder="1" applyFont="1"/>
    <xf borderId="1" fillId="8" fontId="1" numFmtId="0" xfId="0" applyAlignment="1" applyBorder="1" applyFill="1" applyFont="1">
      <alignment horizontal="center" shrinkToFit="0" vertical="center" wrapText="1"/>
    </xf>
    <xf borderId="0" fillId="0" fontId="6" numFmtId="0" xfId="0" applyFont="1"/>
    <xf borderId="2" fillId="9" fontId="7" numFmtId="0" xfId="0" applyAlignment="1" applyBorder="1" applyFill="1" applyFont="1">
      <alignment shrinkToFit="0" vertical="top" wrapText="1"/>
    </xf>
    <xf borderId="5" fillId="10" fontId="8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0" fontId="9" numFmtId="0" xfId="0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4.0"/>
    <col customWidth="1" min="2" max="2" width="20.0"/>
    <col customWidth="1" min="3" max="3" width="46.0"/>
    <col customWidth="1" min="4" max="5" width="11.0"/>
    <col customWidth="1" min="6" max="7" width="18.0"/>
    <col customWidth="1" min="8" max="8" width="11.0"/>
    <col customWidth="1" min="9" max="9" width="16.0"/>
    <col customWidth="1" min="10" max="10" width="13.0"/>
    <col customWidth="1" min="11" max="11" width="38.0"/>
    <col customWidth="1" min="12" max="12" width="58.0"/>
    <col customWidth="1" min="13" max="13" width="50.0"/>
    <col customWidth="1" min="14" max="14" width="42.0"/>
    <col customWidth="1" min="15" max="15" width="55.0"/>
    <col customWidth="1" min="16" max="16" width="42.0"/>
    <col customWidth="1" min="17" max="26" width="8.71"/>
  </cols>
  <sheetData>
    <row r="1" ht="42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3" t="s">
        <v>17</v>
      </c>
      <c r="C2" s="4" t="s">
        <v>18</v>
      </c>
      <c r="D2" s="5"/>
      <c r="E2" s="5"/>
      <c r="F2" s="4" t="s">
        <v>19</v>
      </c>
      <c r="G2" s="4" t="s">
        <v>20</v>
      </c>
      <c r="H2" s="2" t="s">
        <v>21</v>
      </c>
      <c r="I2" s="4" t="s">
        <v>22</v>
      </c>
      <c r="J2" s="6">
        <v>21.0</v>
      </c>
      <c r="K2" s="7" t="s">
        <v>23</v>
      </c>
      <c r="L2" s="8"/>
      <c r="M2" s="8"/>
      <c r="N2" s="8" t="s">
        <v>24</v>
      </c>
      <c r="O2" s="4" t="s">
        <v>25</v>
      </c>
      <c r="P2" s="2" t="s">
        <v>26</v>
      </c>
    </row>
    <row r="3">
      <c r="A3" s="9" t="s">
        <v>27</v>
      </c>
      <c r="B3" s="3" t="s">
        <v>17</v>
      </c>
      <c r="C3" s="10" t="s">
        <v>28</v>
      </c>
      <c r="D3" s="11"/>
      <c r="E3" s="11"/>
      <c r="F3" s="10" t="s">
        <v>29</v>
      </c>
      <c r="G3" s="10" t="s">
        <v>30</v>
      </c>
      <c r="H3" s="9" t="s">
        <v>31</v>
      </c>
      <c r="I3" s="10" t="s">
        <v>32</v>
      </c>
      <c r="J3" s="6">
        <v>4.0</v>
      </c>
      <c r="K3" s="7" t="s">
        <v>23</v>
      </c>
      <c r="L3" s="8" t="s">
        <v>28</v>
      </c>
      <c r="M3" s="8" t="s">
        <v>33</v>
      </c>
      <c r="N3" s="8" t="s">
        <v>24</v>
      </c>
      <c r="O3" s="10" t="s">
        <v>34</v>
      </c>
      <c r="P3" s="9" t="s">
        <v>26</v>
      </c>
    </row>
    <row r="4">
      <c r="A4" s="9" t="s">
        <v>35</v>
      </c>
      <c r="B4" s="3" t="s">
        <v>17</v>
      </c>
      <c r="C4" s="10" t="s">
        <v>36</v>
      </c>
      <c r="D4" s="11" t="s">
        <v>37</v>
      </c>
      <c r="E4" s="11" t="s">
        <v>37</v>
      </c>
      <c r="F4" s="10" t="s">
        <v>38</v>
      </c>
      <c r="G4" s="10" t="s">
        <v>20</v>
      </c>
      <c r="H4" s="9" t="s">
        <v>39</v>
      </c>
      <c r="I4" s="12">
        <v>7.5</v>
      </c>
      <c r="J4" s="6">
        <v>7.0</v>
      </c>
      <c r="K4" s="7" t="s">
        <v>23</v>
      </c>
      <c r="L4" s="8"/>
      <c r="M4" s="8"/>
      <c r="N4" s="8" t="s">
        <v>24</v>
      </c>
      <c r="O4" s="10" t="s">
        <v>40</v>
      </c>
      <c r="P4" s="9" t="s">
        <v>26</v>
      </c>
    </row>
    <row r="5">
      <c r="A5" s="9" t="s">
        <v>41</v>
      </c>
      <c r="B5" s="3" t="s">
        <v>17</v>
      </c>
      <c r="C5" s="10" t="s">
        <v>42</v>
      </c>
      <c r="D5" s="11" t="s">
        <v>43</v>
      </c>
      <c r="E5" s="11" t="s">
        <v>44</v>
      </c>
      <c r="F5" s="10" t="s">
        <v>45</v>
      </c>
      <c r="G5" s="10" t="s">
        <v>46</v>
      </c>
      <c r="H5" s="9" t="s">
        <v>47</v>
      </c>
      <c r="I5" s="12">
        <v>8.0</v>
      </c>
      <c r="J5" s="6">
        <v>22.0</v>
      </c>
      <c r="K5" s="7" t="s">
        <v>23</v>
      </c>
      <c r="L5" s="8" t="s">
        <v>48</v>
      </c>
      <c r="M5" s="8" t="s">
        <v>49</v>
      </c>
      <c r="N5" s="8" t="s">
        <v>24</v>
      </c>
      <c r="O5" s="10" t="s">
        <v>50</v>
      </c>
      <c r="P5" s="9" t="s">
        <v>26</v>
      </c>
    </row>
    <row r="6">
      <c r="A6" s="2" t="s">
        <v>51</v>
      </c>
      <c r="B6" s="3" t="s">
        <v>17</v>
      </c>
      <c r="C6" s="4" t="s">
        <v>52</v>
      </c>
      <c r="D6" s="5" t="s">
        <v>53</v>
      </c>
      <c r="E6" s="5" t="s">
        <v>54</v>
      </c>
      <c r="F6" s="4" t="s">
        <v>55</v>
      </c>
      <c r="G6" s="4" t="s">
        <v>56</v>
      </c>
      <c r="H6" s="2" t="s">
        <v>31</v>
      </c>
      <c r="I6" s="13">
        <v>12.0</v>
      </c>
      <c r="J6" s="6">
        <v>18.0</v>
      </c>
      <c r="K6" s="7" t="s">
        <v>23</v>
      </c>
      <c r="L6" s="8"/>
      <c r="M6" s="8"/>
      <c r="N6" s="8" t="s">
        <v>24</v>
      </c>
      <c r="O6" s="4" t="s">
        <v>57</v>
      </c>
      <c r="P6" s="2" t="s">
        <v>26</v>
      </c>
    </row>
    <row r="7">
      <c r="A7" s="9" t="s">
        <v>58</v>
      </c>
      <c r="B7" s="3" t="s">
        <v>17</v>
      </c>
      <c r="C7" s="10" t="s">
        <v>59</v>
      </c>
      <c r="D7" s="11" t="s">
        <v>60</v>
      </c>
      <c r="E7" s="11" t="s">
        <v>61</v>
      </c>
      <c r="F7" s="10" t="s">
        <v>55</v>
      </c>
      <c r="G7" s="10" t="s">
        <v>20</v>
      </c>
      <c r="H7" s="9" t="s">
        <v>62</v>
      </c>
      <c r="I7" s="12">
        <v>10.0</v>
      </c>
      <c r="J7" s="6">
        <v>14.0</v>
      </c>
      <c r="K7" s="7" t="s">
        <v>23</v>
      </c>
      <c r="L7" s="8"/>
      <c r="M7" s="8"/>
      <c r="N7" s="8" t="s">
        <v>24</v>
      </c>
      <c r="O7" s="10" t="s">
        <v>63</v>
      </c>
      <c r="P7" s="9" t="s">
        <v>26</v>
      </c>
    </row>
    <row r="8">
      <c r="A8" s="2" t="s">
        <v>64</v>
      </c>
      <c r="B8" s="3" t="s">
        <v>17</v>
      </c>
      <c r="C8" s="4" t="s">
        <v>65</v>
      </c>
      <c r="D8" s="5" t="s">
        <v>66</v>
      </c>
      <c r="E8" s="5" t="s">
        <v>67</v>
      </c>
      <c r="F8" s="4" t="s">
        <v>68</v>
      </c>
      <c r="G8" s="4" t="s">
        <v>69</v>
      </c>
      <c r="H8" s="2" t="s">
        <v>31</v>
      </c>
      <c r="I8" s="4" t="s">
        <v>32</v>
      </c>
      <c r="J8" s="6">
        <v>3.0</v>
      </c>
      <c r="K8" s="7" t="s">
        <v>23</v>
      </c>
      <c r="L8" s="8"/>
      <c r="M8" s="8"/>
      <c r="N8" s="8" t="s">
        <v>24</v>
      </c>
      <c r="O8" s="4" t="s">
        <v>70</v>
      </c>
      <c r="P8" s="2" t="s">
        <v>26</v>
      </c>
    </row>
    <row r="9">
      <c r="A9" s="2" t="s">
        <v>71</v>
      </c>
      <c r="B9" s="3" t="s">
        <v>17</v>
      </c>
      <c r="C9" s="4" t="s">
        <v>72</v>
      </c>
      <c r="D9" s="5" t="s">
        <v>73</v>
      </c>
      <c r="E9" s="5" t="s">
        <v>74</v>
      </c>
      <c r="F9" s="4" t="s">
        <v>68</v>
      </c>
      <c r="G9" s="4" t="s">
        <v>75</v>
      </c>
      <c r="H9" s="2" t="s">
        <v>31</v>
      </c>
      <c r="I9" s="4" t="s">
        <v>76</v>
      </c>
      <c r="J9" s="6">
        <v>4.0</v>
      </c>
      <c r="K9" s="7" t="s">
        <v>23</v>
      </c>
      <c r="L9" s="8" t="s">
        <v>72</v>
      </c>
      <c r="M9" s="8" t="s">
        <v>77</v>
      </c>
      <c r="N9" s="8" t="s">
        <v>24</v>
      </c>
      <c r="O9" s="4" t="s">
        <v>78</v>
      </c>
      <c r="P9" s="2" t="s">
        <v>26</v>
      </c>
    </row>
    <row r="10">
      <c r="A10" s="2" t="s">
        <v>79</v>
      </c>
      <c r="B10" s="3" t="s">
        <v>17</v>
      </c>
      <c r="C10" s="4" t="s">
        <v>80</v>
      </c>
      <c r="D10" s="5" t="s">
        <v>81</v>
      </c>
      <c r="E10" s="5" t="s">
        <v>82</v>
      </c>
      <c r="F10" s="4" t="s">
        <v>83</v>
      </c>
      <c r="G10" s="4" t="s">
        <v>30</v>
      </c>
      <c r="H10" s="2" t="s">
        <v>31</v>
      </c>
      <c r="I10" s="4" t="s">
        <v>22</v>
      </c>
      <c r="J10" s="6">
        <v>4.0</v>
      </c>
      <c r="K10" s="7" t="s">
        <v>23</v>
      </c>
      <c r="L10" s="8" t="s">
        <v>80</v>
      </c>
      <c r="M10" s="8" t="s">
        <v>84</v>
      </c>
      <c r="N10" s="8" t="s">
        <v>24</v>
      </c>
      <c r="O10" s="4" t="s">
        <v>85</v>
      </c>
      <c r="P10" s="2" t="s">
        <v>26</v>
      </c>
    </row>
    <row r="11">
      <c r="A11" s="9" t="s">
        <v>86</v>
      </c>
      <c r="B11" s="3" t="s">
        <v>17</v>
      </c>
      <c r="C11" s="10" t="s">
        <v>87</v>
      </c>
      <c r="D11" s="11" t="s">
        <v>88</v>
      </c>
      <c r="E11" s="11" t="s">
        <v>89</v>
      </c>
      <c r="F11" s="10" t="s">
        <v>68</v>
      </c>
      <c r="G11" s="10" t="s">
        <v>20</v>
      </c>
      <c r="H11" s="9" t="s">
        <v>31</v>
      </c>
      <c r="I11" s="10" t="s">
        <v>22</v>
      </c>
      <c r="J11" s="6">
        <v>2.0</v>
      </c>
      <c r="K11" s="7" t="s">
        <v>23</v>
      </c>
      <c r="L11" s="8" t="s">
        <v>87</v>
      </c>
      <c r="M11" s="8" t="s">
        <v>90</v>
      </c>
      <c r="N11" s="8" t="s">
        <v>24</v>
      </c>
      <c r="O11" s="10" t="s">
        <v>91</v>
      </c>
      <c r="P11" s="9" t="s">
        <v>26</v>
      </c>
    </row>
    <row r="12">
      <c r="A12" s="9" t="s">
        <v>92</v>
      </c>
      <c r="B12" s="3" t="s">
        <v>17</v>
      </c>
      <c r="C12" s="10" t="s">
        <v>93</v>
      </c>
      <c r="D12" s="11" t="s">
        <v>73</v>
      </c>
      <c r="E12" s="11" t="s">
        <v>74</v>
      </c>
      <c r="F12" s="10" t="s">
        <v>29</v>
      </c>
      <c r="G12" s="10" t="s">
        <v>30</v>
      </c>
      <c r="H12" s="9" t="s">
        <v>31</v>
      </c>
      <c r="I12" s="10" t="s">
        <v>76</v>
      </c>
      <c r="J12" s="6">
        <v>4.0</v>
      </c>
      <c r="K12" s="7" t="s">
        <v>23</v>
      </c>
      <c r="L12" s="8"/>
      <c r="M12" s="8"/>
      <c r="N12" s="8" t="s">
        <v>24</v>
      </c>
      <c r="O12" s="10" t="s">
        <v>94</v>
      </c>
      <c r="P12" s="9" t="s">
        <v>26</v>
      </c>
    </row>
    <row r="13">
      <c r="A13" s="2" t="s">
        <v>95</v>
      </c>
      <c r="B13" s="3" t="s">
        <v>17</v>
      </c>
      <c r="C13" s="4" t="s">
        <v>96</v>
      </c>
      <c r="D13" s="5" t="s">
        <v>66</v>
      </c>
      <c r="E13" s="5" t="s">
        <v>67</v>
      </c>
      <c r="F13" s="4" t="s">
        <v>29</v>
      </c>
      <c r="G13" s="4" t="s">
        <v>30</v>
      </c>
      <c r="H13" s="2" t="s">
        <v>31</v>
      </c>
      <c r="I13" s="4" t="s">
        <v>32</v>
      </c>
      <c r="J13" s="6">
        <v>3.0</v>
      </c>
      <c r="K13" s="7" t="s">
        <v>23</v>
      </c>
      <c r="L13" s="8" t="s">
        <v>96</v>
      </c>
      <c r="M13" s="8" t="s">
        <v>97</v>
      </c>
      <c r="N13" s="8" t="s">
        <v>24</v>
      </c>
      <c r="O13" s="4" t="s">
        <v>98</v>
      </c>
      <c r="P13" s="2" t="s">
        <v>26</v>
      </c>
    </row>
    <row r="14">
      <c r="A14" s="2" t="s">
        <v>99</v>
      </c>
      <c r="B14" s="3" t="s">
        <v>17</v>
      </c>
      <c r="C14" s="4" t="s">
        <v>100</v>
      </c>
      <c r="D14" s="5" t="s">
        <v>101</v>
      </c>
      <c r="E14" s="5" t="s">
        <v>102</v>
      </c>
      <c r="F14" s="4" t="s">
        <v>103</v>
      </c>
      <c r="G14" s="4" t="s">
        <v>104</v>
      </c>
      <c r="H14" s="2" t="s">
        <v>21</v>
      </c>
      <c r="I14" s="4" t="s">
        <v>22</v>
      </c>
      <c r="J14" s="6">
        <v>10.0</v>
      </c>
      <c r="K14" s="7" t="s">
        <v>23</v>
      </c>
      <c r="L14" s="8"/>
      <c r="M14" s="8"/>
      <c r="N14" s="8" t="s">
        <v>24</v>
      </c>
      <c r="O14" s="4" t="s">
        <v>105</v>
      </c>
      <c r="P14" s="2" t="s">
        <v>26</v>
      </c>
    </row>
    <row r="15">
      <c r="A15" s="2" t="s">
        <v>106</v>
      </c>
      <c r="B15" s="3" t="s">
        <v>17</v>
      </c>
      <c r="C15" s="4" t="s">
        <v>107</v>
      </c>
      <c r="D15" s="5" t="s">
        <v>108</v>
      </c>
      <c r="E15" s="5" t="s">
        <v>109</v>
      </c>
      <c r="F15" s="4" t="s">
        <v>45</v>
      </c>
      <c r="G15" s="4" t="s">
        <v>69</v>
      </c>
      <c r="H15" s="2" t="s">
        <v>21</v>
      </c>
      <c r="I15" s="4" t="s">
        <v>22</v>
      </c>
      <c r="J15" s="6">
        <v>11.0</v>
      </c>
      <c r="K15" s="7" t="s">
        <v>23</v>
      </c>
      <c r="L15" s="8" t="s">
        <v>110</v>
      </c>
      <c r="M15" s="8" t="s">
        <v>111</v>
      </c>
      <c r="N15" s="8" t="s">
        <v>24</v>
      </c>
      <c r="O15" s="4" t="s">
        <v>112</v>
      </c>
      <c r="P15" s="2" t="s">
        <v>26</v>
      </c>
    </row>
    <row r="16">
      <c r="A16" s="9" t="s">
        <v>113</v>
      </c>
      <c r="B16" s="3" t="s">
        <v>17</v>
      </c>
      <c r="C16" s="10" t="s">
        <v>114</v>
      </c>
      <c r="D16" s="11" t="s">
        <v>66</v>
      </c>
      <c r="E16" s="11" t="s">
        <v>67</v>
      </c>
      <c r="F16" s="10" t="s">
        <v>29</v>
      </c>
      <c r="G16" s="10" t="s">
        <v>30</v>
      </c>
      <c r="H16" s="9" t="s">
        <v>31</v>
      </c>
      <c r="I16" s="10" t="s">
        <v>32</v>
      </c>
      <c r="J16" s="6">
        <v>3.0</v>
      </c>
      <c r="K16" s="7" t="s">
        <v>23</v>
      </c>
      <c r="L16" s="8"/>
      <c r="M16" s="8"/>
      <c r="N16" s="8" t="s">
        <v>24</v>
      </c>
      <c r="O16" s="10" t="s">
        <v>115</v>
      </c>
      <c r="P16" s="9" t="s">
        <v>26</v>
      </c>
    </row>
    <row r="17">
      <c r="A17" s="9" t="s">
        <v>116</v>
      </c>
      <c r="B17" s="3" t="s">
        <v>17</v>
      </c>
      <c r="C17" s="10" t="s">
        <v>117</v>
      </c>
      <c r="D17" s="11" t="s">
        <v>118</v>
      </c>
      <c r="E17" s="11" t="s">
        <v>119</v>
      </c>
      <c r="F17" s="10" t="s">
        <v>68</v>
      </c>
      <c r="G17" s="10" t="s">
        <v>30</v>
      </c>
      <c r="H17" s="9" t="s">
        <v>31</v>
      </c>
      <c r="I17" s="10" t="s">
        <v>120</v>
      </c>
      <c r="J17" s="6">
        <v>3.0</v>
      </c>
      <c r="K17" s="7" t="s">
        <v>23</v>
      </c>
      <c r="L17" s="8"/>
      <c r="M17" s="8"/>
      <c r="N17" s="8" t="s">
        <v>24</v>
      </c>
      <c r="O17" s="10" t="s">
        <v>121</v>
      </c>
      <c r="P17" s="9" t="s">
        <v>26</v>
      </c>
    </row>
    <row r="18">
      <c r="A18" s="9" t="s">
        <v>122</v>
      </c>
      <c r="B18" s="3" t="s">
        <v>17</v>
      </c>
      <c r="C18" s="10" t="s">
        <v>123</v>
      </c>
      <c r="D18" s="11" t="s">
        <v>124</v>
      </c>
      <c r="E18" s="11" t="s">
        <v>73</v>
      </c>
      <c r="F18" s="10" t="s">
        <v>68</v>
      </c>
      <c r="G18" s="10" t="s">
        <v>30</v>
      </c>
      <c r="H18" s="9" t="s">
        <v>31</v>
      </c>
      <c r="I18" s="10" t="s">
        <v>32</v>
      </c>
      <c r="J18" s="6">
        <v>4.0</v>
      </c>
      <c r="K18" s="7" t="s">
        <v>23</v>
      </c>
      <c r="L18" s="8"/>
      <c r="M18" s="8"/>
      <c r="N18" s="8" t="s">
        <v>24</v>
      </c>
      <c r="O18" s="10" t="s">
        <v>125</v>
      </c>
      <c r="P18" s="9" t="s">
        <v>26</v>
      </c>
    </row>
    <row r="19">
      <c r="A19" s="2" t="s">
        <v>126</v>
      </c>
      <c r="B19" s="3" t="s">
        <v>17</v>
      </c>
      <c r="C19" s="4" t="s">
        <v>127</v>
      </c>
      <c r="D19" s="5"/>
      <c r="E19" s="5"/>
      <c r="F19" s="4" t="s">
        <v>62</v>
      </c>
      <c r="G19" s="4" t="s">
        <v>62</v>
      </c>
      <c r="H19" s="2" t="s">
        <v>62</v>
      </c>
      <c r="I19" s="4" t="s">
        <v>62</v>
      </c>
      <c r="J19" s="6">
        <v>8.0</v>
      </c>
      <c r="K19" s="7" t="s">
        <v>23</v>
      </c>
      <c r="L19" s="8"/>
      <c r="M19" s="8"/>
      <c r="N19" s="8" t="s">
        <v>24</v>
      </c>
      <c r="O19" s="4" t="s">
        <v>128</v>
      </c>
      <c r="P19" s="2" t="s">
        <v>26</v>
      </c>
    </row>
    <row r="20">
      <c r="A20" s="9" t="s">
        <v>129</v>
      </c>
      <c r="B20" s="3" t="s">
        <v>17</v>
      </c>
      <c r="C20" s="10" t="s">
        <v>130</v>
      </c>
      <c r="D20" s="11" t="s">
        <v>131</v>
      </c>
      <c r="E20" s="11" t="s">
        <v>132</v>
      </c>
      <c r="F20" s="10" t="s">
        <v>29</v>
      </c>
      <c r="G20" s="10" t="s">
        <v>20</v>
      </c>
      <c r="H20" s="9" t="s">
        <v>21</v>
      </c>
      <c r="I20" s="10" t="s">
        <v>133</v>
      </c>
      <c r="J20" s="6">
        <v>6.0</v>
      </c>
      <c r="K20" s="7" t="s">
        <v>23</v>
      </c>
      <c r="L20" s="8"/>
      <c r="M20" s="8"/>
      <c r="N20" s="8" t="s">
        <v>24</v>
      </c>
      <c r="O20" s="10" t="s">
        <v>134</v>
      </c>
      <c r="P20" s="9" t="s">
        <v>26</v>
      </c>
    </row>
    <row r="21" ht="15.75" customHeight="1">
      <c r="A21" s="2" t="s">
        <v>135</v>
      </c>
      <c r="B21" s="3" t="s">
        <v>17</v>
      </c>
      <c r="C21" s="4" t="s">
        <v>136</v>
      </c>
      <c r="D21" s="5" t="s">
        <v>137</v>
      </c>
      <c r="E21" s="5" t="s">
        <v>138</v>
      </c>
      <c r="F21" s="4" t="s">
        <v>29</v>
      </c>
      <c r="G21" s="4" t="s">
        <v>20</v>
      </c>
      <c r="H21" s="2" t="s">
        <v>31</v>
      </c>
      <c r="I21" s="4" t="s">
        <v>32</v>
      </c>
      <c r="J21" s="6">
        <v>3.0</v>
      </c>
      <c r="K21" s="7" t="s">
        <v>23</v>
      </c>
      <c r="L21" s="8"/>
      <c r="M21" s="8"/>
      <c r="N21" s="8" t="s">
        <v>24</v>
      </c>
      <c r="O21" s="4" t="s">
        <v>139</v>
      </c>
      <c r="P21" s="2" t="s">
        <v>26</v>
      </c>
    </row>
    <row r="22" ht="15.75" customHeight="1">
      <c r="A22" s="2" t="s">
        <v>140</v>
      </c>
      <c r="B22" s="3" t="s">
        <v>17</v>
      </c>
      <c r="C22" s="4" t="s">
        <v>141</v>
      </c>
      <c r="D22" s="5" t="s">
        <v>142</v>
      </c>
      <c r="E22" s="5" t="s">
        <v>143</v>
      </c>
      <c r="F22" s="4"/>
      <c r="G22" s="4" t="s">
        <v>144</v>
      </c>
      <c r="H22" s="2" t="s">
        <v>31</v>
      </c>
      <c r="I22" s="4" t="s">
        <v>145</v>
      </c>
      <c r="J22" s="6">
        <v>2.0</v>
      </c>
      <c r="K22" s="7" t="s">
        <v>23</v>
      </c>
      <c r="L22" s="8" t="s">
        <v>141</v>
      </c>
      <c r="M22" s="8" t="s">
        <v>146</v>
      </c>
      <c r="N22" s="8" t="s">
        <v>24</v>
      </c>
      <c r="O22" s="4" t="s">
        <v>147</v>
      </c>
      <c r="P22" s="2" t="s">
        <v>26</v>
      </c>
    </row>
    <row r="23" ht="15.75" customHeight="1">
      <c r="A23" s="9" t="s">
        <v>148</v>
      </c>
      <c r="B23" s="3" t="s">
        <v>17</v>
      </c>
      <c r="C23" s="10" t="s">
        <v>149</v>
      </c>
      <c r="D23" s="11" t="s">
        <v>150</v>
      </c>
      <c r="E23" s="11" t="s">
        <v>151</v>
      </c>
      <c r="F23" s="10" t="s">
        <v>75</v>
      </c>
      <c r="G23" s="10" t="s">
        <v>152</v>
      </c>
      <c r="H23" s="9" t="s">
        <v>31</v>
      </c>
      <c r="I23" s="12">
        <v>5.0</v>
      </c>
      <c r="J23" s="6">
        <v>11.0</v>
      </c>
      <c r="K23" s="7" t="s">
        <v>23</v>
      </c>
      <c r="L23" s="8" t="s">
        <v>153</v>
      </c>
      <c r="M23" s="8" t="s">
        <v>154</v>
      </c>
      <c r="N23" s="8" t="s">
        <v>24</v>
      </c>
      <c r="O23" s="10" t="s">
        <v>155</v>
      </c>
      <c r="P23" s="9" t="s">
        <v>26</v>
      </c>
    </row>
    <row r="24" ht="15.75" customHeight="1">
      <c r="A24" s="9" t="s">
        <v>156</v>
      </c>
      <c r="B24" s="3" t="s">
        <v>17</v>
      </c>
      <c r="C24" s="10" t="s">
        <v>157</v>
      </c>
      <c r="D24" s="11" t="s">
        <v>158</v>
      </c>
      <c r="E24" s="11" t="s">
        <v>158</v>
      </c>
      <c r="F24" s="10" t="s">
        <v>45</v>
      </c>
      <c r="G24" s="10" t="s">
        <v>20</v>
      </c>
      <c r="H24" s="9" t="s">
        <v>21</v>
      </c>
      <c r="I24" s="10" t="s">
        <v>159</v>
      </c>
      <c r="J24" s="6">
        <v>9.0</v>
      </c>
      <c r="K24" s="7" t="s">
        <v>23</v>
      </c>
      <c r="L24" s="8" t="s">
        <v>157</v>
      </c>
      <c r="M24" s="8" t="s">
        <v>160</v>
      </c>
      <c r="N24" s="8" t="s">
        <v>24</v>
      </c>
      <c r="O24" s="10" t="s">
        <v>161</v>
      </c>
      <c r="P24" s="9" t="s">
        <v>26</v>
      </c>
    </row>
    <row r="25" ht="15.75" customHeight="1">
      <c r="A25" s="2" t="s">
        <v>162</v>
      </c>
      <c r="B25" s="3" t="s">
        <v>17</v>
      </c>
      <c r="C25" s="4" t="s">
        <v>163</v>
      </c>
      <c r="D25" s="5" t="s">
        <v>164</v>
      </c>
      <c r="E25" s="5" t="s">
        <v>165</v>
      </c>
      <c r="F25" s="4" t="s">
        <v>166</v>
      </c>
      <c r="G25" s="4" t="s">
        <v>104</v>
      </c>
      <c r="H25" s="2" t="s">
        <v>31</v>
      </c>
      <c r="I25" s="4" t="s">
        <v>32</v>
      </c>
      <c r="J25" s="6">
        <v>5.0</v>
      </c>
      <c r="K25" s="7" t="s">
        <v>23</v>
      </c>
      <c r="L25" s="8"/>
      <c r="M25" s="8"/>
      <c r="N25" s="8" t="s">
        <v>24</v>
      </c>
      <c r="O25" s="4" t="s">
        <v>167</v>
      </c>
      <c r="P25" s="2" t="s">
        <v>26</v>
      </c>
    </row>
    <row r="26" ht="15.75" customHeight="1">
      <c r="A26" s="9" t="s">
        <v>168</v>
      </c>
      <c r="B26" s="3" t="s">
        <v>17</v>
      </c>
      <c r="C26" s="10" t="s">
        <v>169</v>
      </c>
      <c r="D26" s="11" t="s">
        <v>73</v>
      </c>
      <c r="E26" s="11" t="s">
        <v>124</v>
      </c>
      <c r="F26" s="10" t="s">
        <v>29</v>
      </c>
      <c r="G26" s="10" t="s">
        <v>30</v>
      </c>
      <c r="H26" s="9" t="s">
        <v>31</v>
      </c>
      <c r="I26" s="10" t="s">
        <v>32</v>
      </c>
      <c r="J26" s="6">
        <v>7.0</v>
      </c>
      <c r="K26" s="7" t="s">
        <v>23</v>
      </c>
      <c r="L26" s="8"/>
      <c r="M26" s="8"/>
      <c r="N26" s="8" t="s">
        <v>24</v>
      </c>
      <c r="O26" s="10" t="s">
        <v>170</v>
      </c>
      <c r="P26" s="9" t="s">
        <v>26</v>
      </c>
    </row>
    <row r="27" ht="15.75" customHeight="1">
      <c r="A27" s="9" t="s">
        <v>171</v>
      </c>
      <c r="B27" s="3" t="s">
        <v>17</v>
      </c>
      <c r="C27" s="10" t="s">
        <v>172</v>
      </c>
      <c r="D27" s="11" t="s">
        <v>173</v>
      </c>
      <c r="E27" s="11" t="s">
        <v>174</v>
      </c>
      <c r="F27" s="10" t="s">
        <v>68</v>
      </c>
      <c r="G27" s="10" t="s">
        <v>20</v>
      </c>
      <c r="H27" s="9" t="s">
        <v>21</v>
      </c>
      <c r="I27" s="10" t="s">
        <v>32</v>
      </c>
      <c r="J27" s="6">
        <v>10.0</v>
      </c>
      <c r="K27" s="7" t="s">
        <v>23</v>
      </c>
      <c r="L27" s="8"/>
      <c r="M27" s="8"/>
      <c r="N27" s="8" t="s">
        <v>24</v>
      </c>
      <c r="O27" s="10" t="s">
        <v>175</v>
      </c>
      <c r="P27" s="9" t="s">
        <v>26</v>
      </c>
    </row>
    <row r="28" ht="15.75" customHeight="1">
      <c r="A28" s="2" t="s">
        <v>176</v>
      </c>
      <c r="B28" s="3" t="s">
        <v>17</v>
      </c>
      <c r="C28" s="4" t="s">
        <v>177</v>
      </c>
      <c r="D28" s="5" t="s">
        <v>178</v>
      </c>
      <c r="E28" s="5" t="s">
        <v>179</v>
      </c>
      <c r="F28" s="4" t="s">
        <v>29</v>
      </c>
      <c r="G28" s="4" t="s">
        <v>69</v>
      </c>
      <c r="H28" s="2" t="s">
        <v>31</v>
      </c>
      <c r="I28" s="4" t="s">
        <v>120</v>
      </c>
      <c r="J28" s="6">
        <v>14.0</v>
      </c>
      <c r="K28" s="7" t="s">
        <v>23</v>
      </c>
      <c r="L28" s="8"/>
      <c r="M28" s="8"/>
      <c r="N28" s="8" t="s">
        <v>24</v>
      </c>
      <c r="O28" s="4" t="s">
        <v>180</v>
      </c>
      <c r="P28" s="2" t="s">
        <v>26</v>
      </c>
    </row>
    <row r="29" ht="15.75" customHeight="1">
      <c r="A29" s="2" t="s">
        <v>181</v>
      </c>
      <c r="B29" s="3" t="s">
        <v>17</v>
      </c>
      <c r="C29" s="4" t="s">
        <v>182</v>
      </c>
      <c r="D29" s="5" t="s">
        <v>73</v>
      </c>
      <c r="E29" s="5" t="s">
        <v>74</v>
      </c>
      <c r="F29" s="4" t="s">
        <v>29</v>
      </c>
      <c r="G29" s="4" t="s">
        <v>30</v>
      </c>
      <c r="H29" s="2" t="s">
        <v>31</v>
      </c>
      <c r="I29" s="4" t="s">
        <v>32</v>
      </c>
      <c r="J29" s="6">
        <v>4.0</v>
      </c>
      <c r="K29" s="7" t="s">
        <v>23</v>
      </c>
      <c r="L29" s="8" t="s">
        <v>182</v>
      </c>
      <c r="M29" s="8" t="s">
        <v>183</v>
      </c>
      <c r="N29" s="8" t="s">
        <v>24</v>
      </c>
      <c r="O29" s="4" t="s">
        <v>184</v>
      </c>
      <c r="P29" s="2" t="s">
        <v>26</v>
      </c>
    </row>
    <row r="30" ht="15.75" customHeight="1">
      <c r="A30" s="9" t="s">
        <v>185</v>
      </c>
      <c r="B30" s="3" t="s">
        <v>17</v>
      </c>
      <c r="C30" s="10" t="s">
        <v>186</v>
      </c>
      <c r="D30" s="11" t="s">
        <v>187</v>
      </c>
      <c r="E30" s="11" t="s">
        <v>188</v>
      </c>
      <c r="F30" s="10" t="s">
        <v>68</v>
      </c>
      <c r="G30" s="10" t="s">
        <v>30</v>
      </c>
      <c r="H30" s="9" t="s">
        <v>21</v>
      </c>
      <c r="I30" s="10" t="s">
        <v>120</v>
      </c>
      <c r="J30" s="6">
        <v>4.0</v>
      </c>
      <c r="K30" s="7" t="s">
        <v>23</v>
      </c>
      <c r="L30" s="8" t="s">
        <v>189</v>
      </c>
      <c r="M30" s="8" t="s">
        <v>190</v>
      </c>
      <c r="N30" s="8" t="s">
        <v>24</v>
      </c>
      <c r="O30" s="10" t="s">
        <v>191</v>
      </c>
      <c r="P30" s="9" t="s">
        <v>26</v>
      </c>
    </row>
    <row r="31" ht="15.75" customHeight="1">
      <c r="A31" s="9" t="s">
        <v>192</v>
      </c>
      <c r="B31" s="3" t="s">
        <v>17</v>
      </c>
      <c r="C31" s="10" t="s">
        <v>193</v>
      </c>
      <c r="D31" s="11" t="s">
        <v>194</v>
      </c>
      <c r="E31" s="11" t="s">
        <v>195</v>
      </c>
      <c r="F31" s="10" t="s">
        <v>68</v>
      </c>
      <c r="G31" s="10" t="s">
        <v>75</v>
      </c>
      <c r="H31" s="9" t="s">
        <v>31</v>
      </c>
      <c r="I31" s="10" t="s">
        <v>32</v>
      </c>
      <c r="J31" s="6">
        <v>5.0</v>
      </c>
      <c r="K31" s="7" t="s">
        <v>23</v>
      </c>
      <c r="L31" s="8" t="s">
        <v>193</v>
      </c>
      <c r="M31" s="8" t="s">
        <v>196</v>
      </c>
      <c r="N31" s="8" t="s">
        <v>24</v>
      </c>
      <c r="O31" s="10" t="s">
        <v>197</v>
      </c>
      <c r="P31" s="9" t="s">
        <v>26</v>
      </c>
    </row>
    <row r="32" ht="15.75" customHeight="1">
      <c r="A32" s="2" t="s">
        <v>198</v>
      </c>
      <c r="B32" s="3" t="s">
        <v>17</v>
      </c>
      <c r="C32" s="4" t="s">
        <v>199</v>
      </c>
      <c r="D32" s="5" t="s">
        <v>66</v>
      </c>
      <c r="E32" s="5" t="s">
        <v>67</v>
      </c>
      <c r="F32" s="4" t="s">
        <v>29</v>
      </c>
      <c r="G32" s="4" t="s">
        <v>30</v>
      </c>
      <c r="H32" s="2" t="s">
        <v>31</v>
      </c>
      <c r="I32" s="4" t="s">
        <v>32</v>
      </c>
      <c r="J32" s="6">
        <v>6.0</v>
      </c>
      <c r="K32" s="7" t="s">
        <v>23</v>
      </c>
      <c r="L32" s="8"/>
      <c r="M32" s="8"/>
      <c r="N32" s="8" t="s">
        <v>24</v>
      </c>
      <c r="O32" s="4" t="s">
        <v>200</v>
      </c>
      <c r="P32" s="2" t="s">
        <v>26</v>
      </c>
    </row>
    <row r="33" ht="15.75" customHeight="1">
      <c r="A33" s="2" t="s">
        <v>201</v>
      </c>
      <c r="B33" s="3" t="s">
        <v>17</v>
      </c>
      <c r="C33" s="4" t="s">
        <v>202</v>
      </c>
      <c r="D33" s="5" t="s">
        <v>73</v>
      </c>
      <c r="E33" s="5" t="s">
        <v>74</v>
      </c>
      <c r="F33" s="4" t="s">
        <v>29</v>
      </c>
      <c r="G33" s="4" t="s">
        <v>30</v>
      </c>
      <c r="H33" s="2" t="s">
        <v>31</v>
      </c>
      <c r="I33" s="4" t="s">
        <v>203</v>
      </c>
      <c r="J33" s="6">
        <v>7.0</v>
      </c>
      <c r="K33" s="7" t="s">
        <v>23</v>
      </c>
      <c r="L33" s="8"/>
      <c r="M33" s="8"/>
      <c r="N33" s="8" t="s">
        <v>24</v>
      </c>
      <c r="O33" s="4" t="s">
        <v>204</v>
      </c>
      <c r="P33" s="2" t="s">
        <v>26</v>
      </c>
    </row>
    <row r="34" ht="15.75" customHeight="1">
      <c r="A34" s="2" t="s">
        <v>205</v>
      </c>
      <c r="B34" s="3" t="s">
        <v>17</v>
      </c>
      <c r="C34" s="4" t="s">
        <v>206</v>
      </c>
      <c r="D34" s="5" t="s">
        <v>207</v>
      </c>
      <c r="E34" s="5" t="s">
        <v>208</v>
      </c>
      <c r="F34" s="4" t="s">
        <v>29</v>
      </c>
      <c r="G34" s="4" t="s">
        <v>30</v>
      </c>
      <c r="H34" s="2" t="s">
        <v>31</v>
      </c>
      <c r="I34" s="4" t="s">
        <v>203</v>
      </c>
      <c r="J34" s="6">
        <v>5.0</v>
      </c>
      <c r="K34" s="7" t="s">
        <v>23</v>
      </c>
      <c r="L34" s="8"/>
      <c r="M34" s="8"/>
      <c r="N34" s="8" t="s">
        <v>24</v>
      </c>
      <c r="O34" s="4" t="s">
        <v>209</v>
      </c>
      <c r="P34" s="2" t="s">
        <v>26</v>
      </c>
    </row>
    <row r="35" ht="15.75" customHeight="1">
      <c r="A35" s="9" t="s">
        <v>210</v>
      </c>
      <c r="B35" s="3" t="s">
        <v>17</v>
      </c>
      <c r="C35" s="10" t="s">
        <v>211</v>
      </c>
      <c r="D35" s="11" t="s">
        <v>66</v>
      </c>
      <c r="E35" s="11" t="s">
        <v>67</v>
      </c>
      <c r="F35" s="10" t="s">
        <v>29</v>
      </c>
      <c r="G35" s="10" t="s">
        <v>30</v>
      </c>
      <c r="H35" s="9" t="s">
        <v>31</v>
      </c>
      <c r="I35" s="10" t="s">
        <v>32</v>
      </c>
      <c r="J35" s="6">
        <v>3.0</v>
      </c>
      <c r="K35" s="7" t="s">
        <v>23</v>
      </c>
      <c r="L35" s="8" t="s">
        <v>211</v>
      </c>
      <c r="M35" s="8" t="s">
        <v>212</v>
      </c>
      <c r="N35" s="8" t="s">
        <v>24</v>
      </c>
      <c r="O35" s="10" t="s">
        <v>213</v>
      </c>
      <c r="P35" s="9" t="s">
        <v>26</v>
      </c>
    </row>
    <row r="36" ht="15.75" customHeight="1">
      <c r="A36" s="9" t="s">
        <v>214</v>
      </c>
      <c r="B36" s="3" t="s">
        <v>17</v>
      </c>
      <c r="C36" s="10" t="s">
        <v>215</v>
      </c>
      <c r="D36" s="11" t="s">
        <v>216</v>
      </c>
      <c r="E36" s="11" t="s">
        <v>74</v>
      </c>
      <c r="F36" s="10" t="s">
        <v>29</v>
      </c>
      <c r="G36" s="10" t="s">
        <v>30</v>
      </c>
      <c r="H36" s="9" t="s">
        <v>31</v>
      </c>
      <c r="I36" s="10" t="s">
        <v>203</v>
      </c>
      <c r="J36" s="6">
        <v>6.0</v>
      </c>
      <c r="K36" s="7" t="s">
        <v>23</v>
      </c>
      <c r="L36" s="8"/>
      <c r="M36" s="8"/>
      <c r="N36" s="8" t="s">
        <v>24</v>
      </c>
      <c r="O36" s="10" t="s">
        <v>217</v>
      </c>
      <c r="P36" s="9" t="s">
        <v>26</v>
      </c>
    </row>
    <row r="37" ht="15.75" customHeight="1">
      <c r="A37" s="2" t="s">
        <v>218</v>
      </c>
      <c r="B37" s="3" t="s">
        <v>17</v>
      </c>
      <c r="C37" s="4" t="s">
        <v>219</v>
      </c>
      <c r="D37" s="5" t="s">
        <v>220</v>
      </c>
      <c r="E37" s="5" t="s">
        <v>74</v>
      </c>
      <c r="F37" s="4" t="s">
        <v>29</v>
      </c>
      <c r="G37" s="4" t="s">
        <v>69</v>
      </c>
      <c r="H37" s="2" t="s">
        <v>31</v>
      </c>
      <c r="I37" s="4" t="s">
        <v>32</v>
      </c>
      <c r="J37" s="6">
        <v>3.0</v>
      </c>
      <c r="K37" s="7" t="s">
        <v>23</v>
      </c>
      <c r="L37" s="8" t="s">
        <v>219</v>
      </c>
      <c r="M37" s="8" t="s">
        <v>221</v>
      </c>
      <c r="N37" s="8" t="s">
        <v>24</v>
      </c>
      <c r="O37" s="4" t="s">
        <v>222</v>
      </c>
      <c r="P37" s="2" t="s">
        <v>26</v>
      </c>
    </row>
    <row r="38" ht="15.75" customHeight="1">
      <c r="A38" s="9" t="s">
        <v>223</v>
      </c>
      <c r="B38" s="3" t="s">
        <v>17</v>
      </c>
      <c r="C38" s="10" t="s">
        <v>224</v>
      </c>
      <c r="D38" s="11" t="s">
        <v>66</v>
      </c>
      <c r="E38" s="11" t="s">
        <v>225</v>
      </c>
      <c r="F38" s="10" t="s">
        <v>68</v>
      </c>
      <c r="G38" s="10" t="s">
        <v>30</v>
      </c>
      <c r="H38" s="9" t="s">
        <v>31</v>
      </c>
      <c r="I38" s="10" t="s">
        <v>32</v>
      </c>
      <c r="J38" s="6">
        <v>5.0</v>
      </c>
      <c r="K38" s="7" t="s">
        <v>23</v>
      </c>
      <c r="L38" s="8"/>
      <c r="M38" s="8"/>
      <c r="N38" s="8" t="s">
        <v>24</v>
      </c>
      <c r="O38" s="10" t="s">
        <v>226</v>
      </c>
      <c r="P38" s="9" t="s">
        <v>26</v>
      </c>
    </row>
    <row r="39" ht="15.75" customHeight="1">
      <c r="A39" s="2" t="s">
        <v>227</v>
      </c>
      <c r="B39" s="3" t="s">
        <v>17</v>
      </c>
      <c r="C39" s="4" t="s">
        <v>228</v>
      </c>
      <c r="D39" s="5" t="s">
        <v>66</v>
      </c>
      <c r="E39" s="5" t="s">
        <v>67</v>
      </c>
      <c r="F39" s="4" t="s">
        <v>229</v>
      </c>
      <c r="G39" s="4" t="s">
        <v>230</v>
      </c>
      <c r="H39" s="2" t="s">
        <v>31</v>
      </c>
      <c r="I39" s="4" t="s">
        <v>32</v>
      </c>
      <c r="J39" s="6">
        <v>3.0</v>
      </c>
      <c r="K39" s="7" t="s">
        <v>23</v>
      </c>
      <c r="L39" s="8"/>
      <c r="M39" s="8"/>
      <c r="N39" s="8" t="s">
        <v>24</v>
      </c>
      <c r="O39" s="4" t="s">
        <v>231</v>
      </c>
      <c r="P39" s="2" t="s">
        <v>26</v>
      </c>
    </row>
    <row r="40" ht="15.75" customHeight="1">
      <c r="A40" s="2" t="s">
        <v>232</v>
      </c>
      <c r="B40" s="3" t="s">
        <v>17</v>
      </c>
      <c r="C40" s="4" t="s">
        <v>233</v>
      </c>
      <c r="D40" s="5" t="s">
        <v>66</v>
      </c>
      <c r="E40" s="5" t="s">
        <v>67</v>
      </c>
      <c r="F40" s="4" t="s">
        <v>29</v>
      </c>
      <c r="G40" s="4" t="s">
        <v>30</v>
      </c>
      <c r="H40" s="2" t="s">
        <v>31</v>
      </c>
      <c r="I40" s="4" t="s">
        <v>32</v>
      </c>
      <c r="J40" s="6">
        <v>6.0</v>
      </c>
      <c r="K40" s="7" t="s">
        <v>23</v>
      </c>
      <c r="L40" s="8"/>
      <c r="M40" s="8"/>
      <c r="N40" s="8" t="s">
        <v>24</v>
      </c>
      <c r="O40" s="4" t="s">
        <v>234</v>
      </c>
      <c r="P40" s="2" t="s">
        <v>26</v>
      </c>
    </row>
    <row r="41" ht="15.75" customHeight="1">
      <c r="A41" s="2" t="s">
        <v>235</v>
      </c>
      <c r="B41" s="3" t="s">
        <v>17</v>
      </c>
      <c r="C41" s="4" t="s">
        <v>236</v>
      </c>
      <c r="D41" s="5" t="s">
        <v>237</v>
      </c>
      <c r="E41" s="5" t="s">
        <v>237</v>
      </c>
      <c r="F41" s="4" t="s">
        <v>68</v>
      </c>
      <c r="G41" s="4" t="s">
        <v>69</v>
      </c>
      <c r="H41" s="2" t="s">
        <v>31</v>
      </c>
      <c r="I41" s="4" t="s">
        <v>120</v>
      </c>
      <c r="J41" s="6">
        <v>9.0</v>
      </c>
      <c r="K41" s="7" t="s">
        <v>23</v>
      </c>
      <c r="L41" s="8"/>
      <c r="M41" s="8"/>
      <c r="N41" s="8" t="s">
        <v>24</v>
      </c>
      <c r="O41" s="4" t="s">
        <v>238</v>
      </c>
      <c r="P41" s="2" t="s">
        <v>26</v>
      </c>
    </row>
    <row r="42" ht="15.75" customHeight="1">
      <c r="A42" s="2" t="s">
        <v>239</v>
      </c>
      <c r="B42" s="3" t="s">
        <v>17</v>
      </c>
      <c r="C42" s="4" t="s">
        <v>240</v>
      </c>
      <c r="D42" s="5" t="s">
        <v>241</v>
      </c>
      <c r="E42" s="5" t="s">
        <v>242</v>
      </c>
      <c r="F42" s="4" t="s">
        <v>68</v>
      </c>
      <c r="G42" s="4" t="s">
        <v>30</v>
      </c>
      <c r="H42" s="2" t="s">
        <v>31</v>
      </c>
      <c r="I42" s="4" t="s">
        <v>76</v>
      </c>
      <c r="J42" s="6">
        <v>5.0</v>
      </c>
      <c r="K42" s="7" t="s">
        <v>23</v>
      </c>
      <c r="L42" s="8" t="s">
        <v>240</v>
      </c>
      <c r="M42" s="8" t="s">
        <v>243</v>
      </c>
      <c r="N42" s="8" t="s">
        <v>24</v>
      </c>
      <c r="O42" s="4" t="s">
        <v>244</v>
      </c>
      <c r="P42" s="2" t="s">
        <v>26</v>
      </c>
    </row>
    <row r="43" ht="15.75" customHeight="1">
      <c r="A43" s="2" t="s">
        <v>245</v>
      </c>
      <c r="B43" s="3" t="s">
        <v>17</v>
      </c>
      <c r="C43" s="4" t="s">
        <v>246</v>
      </c>
      <c r="D43" s="5"/>
      <c r="E43" s="5"/>
      <c r="F43" s="4" t="s">
        <v>45</v>
      </c>
      <c r="G43" s="4" t="s">
        <v>20</v>
      </c>
      <c r="H43" s="2" t="s">
        <v>21</v>
      </c>
      <c r="I43" s="4" t="s">
        <v>22</v>
      </c>
      <c r="J43" s="6">
        <v>13.0</v>
      </c>
      <c r="K43" s="7" t="s">
        <v>23</v>
      </c>
      <c r="L43" s="8" t="s">
        <v>247</v>
      </c>
      <c r="M43" s="8" t="s">
        <v>248</v>
      </c>
      <c r="N43" s="8" t="s">
        <v>24</v>
      </c>
      <c r="O43" s="4" t="s">
        <v>249</v>
      </c>
      <c r="P43" s="2" t="s">
        <v>26</v>
      </c>
    </row>
    <row r="44" ht="15.75" customHeight="1">
      <c r="A44" s="9" t="s">
        <v>250</v>
      </c>
      <c r="B44" s="3" t="s">
        <v>17</v>
      </c>
      <c r="C44" s="10" t="s">
        <v>251</v>
      </c>
      <c r="D44" s="11" t="s">
        <v>252</v>
      </c>
      <c r="E44" s="11" t="s">
        <v>252</v>
      </c>
      <c r="F44" s="10" t="s">
        <v>38</v>
      </c>
      <c r="G44" s="10" t="s">
        <v>69</v>
      </c>
      <c r="H44" s="9" t="s">
        <v>31</v>
      </c>
      <c r="I44" s="10" t="s">
        <v>120</v>
      </c>
      <c r="J44" s="6">
        <v>6.0</v>
      </c>
      <c r="K44" s="7" t="s">
        <v>23</v>
      </c>
      <c r="L44" s="8" t="s">
        <v>251</v>
      </c>
      <c r="M44" s="8" t="s">
        <v>253</v>
      </c>
      <c r="N44" s="8" t="s">
        <v>24</v>
      </c>
      <c r="O44" s="10" t="s">
        <v>254</v>
      </c>
      <c r="P44" s="9" t="s">
        <v>26</v>
      </c>
    </row>
    <row r="45" ht="15.75" customHeight="1">
      <c r="A45" s="9" t="s">
        <v>255</v>
      </c>
      <c r="B45" s="3" t="s">
        <v>17</v>
      </c>
      <c r="C45" s="10" t="s">
        <v>256</v>
      </c>
      <c r="D45" s="11" t="s">
        <v>73</v>
      </c>
      <c r="E45" s="11" t="s">
        <v>74</v>
      </c>
      <c r="F45" s="10" t="s">
        <v>229</v>
      </c>
      <c r="G45" s="10" t="s">
        <v>230</v>
      </c>
      <c r="H45" s="9" t="s">
        <v>31</v>
      </c>
      <c r="I45" s="10" t="s">
        <v>32</v>
      </c>
      <c r="J45" s="6">
        <v>4.0</v>
      </c>
      <c r="K45" s="7" t="s">
        <v>23</v>
      </c>
      <c r="L45" s="8"/>
      <c r="M45" s="8"/>
      <c r="N45" s="8" t="s">
        <v>24</v>
      </c>
      <c r="O45" s="10" t="s">
        <v>257</v>
      </c>
      <c r="P45" s="9" t="s">
        <v>26</v>
      </c>
    </row>
    <row r="46" ht="15.75" customHeight="1">
      <c r="A46" s="9" t="s">
        <v>258</v>
      </c>
      <c r="B46" s="3" t="s">
        <v>17</v>
      </c>
      <c r="C46" s="10" t="s">
        <v>259</v>
      </c>
      <c r="D46" s="11" t="s">
        <v>260</v>
      </c>
      <c r="E46" s="11" t="s">
        <v>260</v>
      </c>
      <c r="F46" s="10" t="s">
        <v>261</v>
      </c>
      <c r="G46" s="10" t="s">
        <v>62</v>
      </c>
      <c r="H46" s="9" t="s">
        <v>31</v>
      </c>
      <c r="I46" s="12">
        <v>10.0</v>
      </c>
      <c r="J46" s="6">
        <v>12.0</v>
      </c>
      <c r="K46" s="7" t="s">
        <v>23</v>
      </c>
      <c r="L46" s="8"/>
      <c r="M46" s="8"/>
      <c r="N46" s="8" t="s">
        <v>24</v>
      </c>
      <c r="O46" s="10" t="s">
        <v>262</v>
      </c>
      <c r="P46" s="9" t="s">
        <v>26</v>
      </c>
    </row>
    <row r="47" ht="15.75" customHeight="1">
      <c r="A47" s="2" t="s">
        <v>263</v>
      </c>
      <c r="B47" s="3" t="s">
        <v>17</v>
      </c>
      <c r="C47" s="4" t="s">
        <v>259</v>
      </c>
      <c r="D47" s="5" t="s">
        <v>260</v>
      </c>
      <c r="E47" s="5" t="s">
        <v>264</v>
      </c>
      <c r="F47" s="4" t="s">
        <v>261</v>
      </c>
      <c r="G47" s="4" t="s">
        <v>62</v>
      </c>
      <c r="H47" s="2" t="s">
        <v>31</v>
      </c>
      <c r="I47" s="13">
        <v>10.0</v>
      </c>
      <c r="J47" s="6">
        <v>12.0</v>
      </c>
      <c r="K47" s="7" t="s">
        <v>23</v>
      </c>
      <c r="L47" s="8"/>
      <c r="M47" s="8"/>
      <c r="N47" s="8" t="s">
        <v>24</v>
      </c>
      <c r="O47" s="4" t="s">
        <v>265</v>
      </c>
      <c r="P47" s="2" t="s">
        <v>26</v>
      </c>
    </row>
    <row r="48" ht="15.75" customHeight="1">
      <c r="A48" s="9" t="s">
        <v>266</v>
      </c>
      <c r="B48" s="3" t="s">
        <v>17</v>
      </c>
      <c r="C48" s="10" t="s">
        <v>267</v>
      </c>
      <c r="D48" s="11" t="s">
        <v>66</v>
      </c>
      <c r="E48" s="11" t="s">
        <v>67</v>
      </c>
      <c r="F48" s="10" t="s">
        <v>68</v>
      </c>
      <c r="G48" s="10" t="s">
        <v>30</v>
      </c>
      <c r="H48" s="9" t="s">
        <v>31</v>
      </c>
      <c r="I48" s="10" t="s">
        <v>32</v>
      </c>
      <c r="J48" s="6">
        <v>3.0</v>
      </c>
      <c r="K48" s="7" t="s">
        <v>23</v>
      </c>
      <c r="L48" s="8" t="s">
        <v>267</v>
      </c>
      <c r="M48" s="8" t="s">
        <v>268</v>
      </c>
      <c r="N48" s="8" t="s">
        <v>24</v>
      </c>
      <c r="O48" s="10" t="s">
        <v>269</v>
      </c>
      <c r="P48" s="9" t="s">
        <v>26</v>
      </c>
    </row>
    <row r="49" ht="15.75" customHeight="1">
      <c r="A49" s="2" t="s">
        <v>270</v>
      </c>
      <c r="B49" s="3" t="s">
        <v>17</v>
      </c>
      <c r="C49" s="4" t="s">
        <v>271</v>
      </c>
      <c r="D49" s="5"/>
      <c r="E49" s="5"/>
      <c r="F49" s="4" t="s">
        <v>29</v>
      </c>
      <c r="G49" s="4" t="s">
        <v>30</v>
      </c>
      <c r="H49" s="2" t="s">
        <v>31</v>
      </c>
      <c r="I49" s="4" t="s">
        <v>32</v>
      </c>
      <c r="J49" s="6">
        <v>4.0</v>
      </c>
      <c r="K49" s="7" t="s">
        <v>23</v>
      </c>
      <c r="L49" s="8"/>
      <c r="M49" s="8"/>
      <c r="N49" s="8" t="s">
        <v>24</v>
      </c>
      <c r="O49" s="4" t="s">
        <v>272</v>
      </c>
      <c r="P49" s="2" t="s">
        <v>26</v>
      </c>
    </row>
    <row r="50" ht="15.75" customHeight="1">
      <c r="A50" s="9" t="s">
        <v>273</v>
      </c>
      <c r="B50" s="3" t="s">
        <v>17</v>
      </c>
      <c r="C50" s="10" t="s">
        <v>274</v>
      </c>
      <c r="D50" s="11" t="s">
        <v>66</v>
      </c>
      <c r="E50" s="11" t="s">
        <v>67</v>
      </c>
      <c r="F50" s="10" t="s">
        <v>29</v>
      </c>
      <c r="G50" s="10" t="s">
        <v>30</v>
      </c>
      <c r="H50" s="9" t="s">
        <v>31</v>
      </c>
      <c r="I50" s="10" t="s">
        <v>32</v>
      </c>
      <c r="J50" s="6">
        <v>3.0</v>
      </c>
      <c r="K50" s="7" t="s">
        <v>23</v>
      </c>
      <c r="L50" s="8"/>
      <c r="M50" s="8"/>
      <c r="N50" s="8" t="s">
        <v>24</v>
      </c>
      <c r="O50" s="10" t="s">
        <v>275</v>
      </c>
      <c r="P50" s="9" t="s">
        <v>26</v>
      </c>
    </row>
    <row r="51" ht="15.75" customHeight="1">
      <c r="A51" s="9" t="s">
        <v>276</v>
      </c>
      <c r="B51" s="3" t="s">
        <v>17</v>
      </c>
      <c r="C51" s="10" t="s">
        <v>277</v>
      </c>
      <c r="D51" s="11" t="s">
        <v>278</v>
      </c>
      <c r="E51" s="11" t="s">
        <v>279</v>
      </c>
      <c r="F51" s="10" t="s">
        <v>68</v>
      </c>
      <c r="G51" s="10" t="s">
        <v>30</v>
      </c>
      <c r="H51" s="9" t="s">
        <v>31</v>
      </c>
      <c r="I51" s="10" t="s">
        <v>203</v>
      </c>
      <c r="J51" s="6">
        <v>4.0</v>
      </c>
      <c r="K51" s="7" t="s">
        <v>23</v>
      </c>
      <c r="L51" s="8"/>
      <c r="M51" s="8"/>
      <c r="N51" s="8" t="s">
        <v>24</v>
      </c>
      <c r="O51" s="10" t="s">
        <v>280</v>
      </c>
      <c r="P51" s="9" t="s">
        <v>26</v>
      </c>
    </row>
    <row r="52" ht="15.75" customHeight="1">
      <c r="A52" s="2" t="s">
        <v>281</v>
      </c>
      <c r="B52" s="3" t="s">
        <v>17</v>
      </c>
      <c r="C52" s="4" t="s">
        <v>282</v>
      </c>
      <c r="D52" s="5" t="s">
        <v>283</v>
      </c>
      <c r="E52" s="5" t="s">
        <v>284</v>
      </c>
      <c r="F52" s="4" t="s">
        <v>29</v>
      </c>
      <c r="G52" s="4" t="s">
        <v>30</v>
      </c>
      <c r="H52" s="2" t="s">
        <v>31</v>
      </c>
      <c r="I52" s="4" t="s">
        <v>32</v>
      </c>
      <c r="J52" s="6">
        <v>4.0</v>
      </c>
      <c r="K52" s="7" t="s">
        <v>23</v>
      </c>
      <c r="L52" s="8" t="s">
        <v>285</v>
      </c>
      <c r="M52" s="8" t="s">
        <v>286</v>
      </c>
      <c r="N52" s="8" t="s">
        <v>24</v>
      </c>
      <c r="O52" s="4" t="s">
        <v>287</v>
      </c>
      <c r="P52" s="2" t="s">
        <v>26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P$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20.0"/>
    <col customWidth="1" min="3" max="26" width="8.71"/>
  </cols>
  <sheetData>
    <row r="1" ht="36.0" customHeight="1">
      <c r="A1" s="1" t="s">
        <v>288</v>
      </c>
      <c r="B1" s="1" t="s">
        <v>289</v>
      </c>
    </row>
    <row r="2">
      <c r="A2" s="2" t="s">
        <v>290</v>
      </c>
      <c r="B2" s="2">
        <v>1.0</v>
      </c>
    </row>
    <row r="3">
      <c r="A3" s="9" t="s">
        <v>291</v>
      </c>
      <c r="B3" s="9">
        <v>1.0</v>
      </c>
    </row>
    <row r="4">
      <c r="A4" s="2" t="s">
        <v>292</v>
      </c>
      <c r="B4" s="2">
        <v>1.0</v>
      </c>
    </row>
    <row r="5">
      <c r="A5" s="9" t="s">
        <v>293</v>
      </c>
      <c r="B5" s="9">
        <v>1.0</v>
      </c>
    </row>
    <row r="6">
      <c r="A6" s="2" t="s">
        <v>294</v>
      </c>
      <c r="B6" s="2">
        <v>1.0</v>
      </c>
    </row>
    <row r="7">
      <c r="A7" s="9" t="s">
        <v>295</v>
      </c>
      <c r="B7" s="9">
        <v>1.0</v>
      </c>
    </row>
    <row r="8">
      <c r="A8" s="2" t="s">
        <v>296</v>
      </c>
      <c r="B8" s="2">
        <v>1.0</v>
      </c>
    </row>
    <row r="9">
      <c r="A9" s="9" t="s">
        <v>297</v>
      </c>
      <c r="B9" s="9">
        <v>1.0</v>
      </c>
    </row>
    <row r="10">
      <c r="A10" s="2" t="s">
        <v>298</v>
      </c>
      <c r="B10" s="2">
        <v>1.0</v>
      </c>
    </row>
    <row r="11">
      <c r="A11" s="9" t="s">
        <v>299</v>
      </c>
      <c r="B11" s="9">
        <v>1.0</v>
      </c>
    </row>
    <row r="12">
      <c r="A12" s="2" t="s">
        <v>300</v>
      </c>
      <c r="B12" s="2">
        <v>1.0</v>
      </c>
    </row>
    <row r="13">
      <c r="A13" s="9" t="s">
        <v>301</v>
      </c>
      <c r="B13" s="9">
        <v>1.0</v>
      </c>
    </row>
    <row r="14">
      <c r="A14" s="2" t="s">
        <v>302</v>
      </c>
      <c r="B14" s="2">
        <v>1.0</v>
      </c>
    </row>
    <row r="15">
      <c r="A15" s="9" t="s">
        <v>303</v>
      </c>
      <c r="B15" s="9">
        <v>1.0</v>
      </c>
    </row>
    <row r="16">
      <c r="A16" s="2" t="s">
        <v>304</v>
      </c>
      <c r="B16" s="2">
        <v>1.0</v>
      </c>
    </row>
    <row r="17">
      <c r="A17" s="9" t="s">
        <v>305</v>
      </c>
      <c r="B17" s="9">
        <v>1.0</v>
      </c>
    </row>
    <row r="18">
      <c r="A18" s="2" t="s">
        <v>306</v>
      </c>
      <c r="B18" s="2">
        <v>1.0</v>
      </c>
    </row>
    <row r="19">
      <c r="A19" s="9" t="s">
        <v>307</v>
      </c>
      <c r="B19" s="9">
        <v>1.0</v>
      </c>
    </row>
    <row r="20">
      <c r="A20" s="2" t="s">
        <v>308</v>
      </c>
      <c r="B20" s="2">
        <v>1.0</v>
      </c>
    </row>
    <row r="21" ht="15.75" customHeight="1">
      <c r="A21" s="9" t="s">
        <v>309</v>
      </c>
      <c r="B21" s="9">
        <v>1.0</v>
      </c>
    </row>
    <row r="22" ht="15.75" customHeight="1">
      <c r="A22" s="2" t="s">
        <v>310</v>
      </c>
      <c r="B22" s="2">
        <v>1.0</v>
      </c>
    </row>
    <row r="23" ht="15.75" customHeight="1">
      <c r="A23" s="9" t="s">
        <v>311</v>
      </c>
      <c r="B23" s="9">
        <v>1.0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16.0"/>
    <col customWidth="1" min="3" max="26" width="8.71"/>
  </cols>
  <sheetData>
    <row r="1">
      <c r="A1" s="14" t="s">
        <v>312</v>
      </c>
      <c r="B1" s="15"/>
      <c r="C1" s="16"/>
    </row>
    <row r="3">
      <c r="A3" s="17" t="s">
        <v>1</v>
      </c>
      <c r="B3" s="17" t="s">
        <v>313</v>
      </c>
    </row>
    <row r="4">
      <c r="A4" s="3" t="s">
        <v>17</v>
      </c>
      <c r="B4" s="3">
        <v>51.0</v>
      </c>
    </row>
    <row r="6">
      <c r="A6" s="17" t="s">
        <v>314</v>
      </c>
      <c r="B6" s="17" t="s">
        <v>315</v>
      </c>
    </row>
    <row r="7">
      <c r="A7" s="9" t="s">
        <v>316</v>
      </c>
      <c r="B7" s="11">
        <f>COUNTA('AI + Web Search Data'!A2:A52)</f>
        <v>51</v>
      </c>
    </row>
    <row r="8">
      <c r="A8" s="2" t="s">
        <v>317</v>
      </c>
      <c r="B8" s="5">
        <f>COUNTIF('AI + Web Search Data'!J2:J52, "&gt;0")</f>
        <v>51</v>
      </c>
    </row>
    <row r="9">
      <c r="A9" s="9" t="s">
        <v>318</v>
      </c>
      <c r="B9" s="11">
        <f>SUM('AI + Web Search Data'!J2:J52)</f>
        <v>348</v>
      </c>
    </row>
    <row r="10">
      <c r="A10" s="2" t="s">
        <v>319</v>
      </c>
      <c r="B10" s="5">
        <v>35.0</v>
      </c>
    </row>
    <row r="11">
      <c r="A11" s="9" t="s">
        <v>320</v>
      </c>
      <c r="B11" s="11">
        <v>20.0</v>
      </c>
    </row>
    <row r="12">
      <c r="A12" s="2" t="s">
        <v>321</v>
      </c>
      <c r="B12" s="5">
        <f>ROUND(SUM('AI + Web Search Data'!J2:J52)/COUNTA('AI + Web Search Data'!A2:A52),1)</f>
        <v>6.8</v>
      </c>
    </row>
    <row r="13">
      <c r="A13" s="9" t="s">
        <v>322</v>
      </c>
      <c r="B13" s="11">
        <f>COUNTBLANK('AI + Web Search Data'!D2:D52)</f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00.0"/>
    <col customWidth="1" min="3" max="26" width="8.71"/>
  </cols>
  <sheetData>
    <row r="1">
      <c r="A1" s="14" t="s">
        <v>323</v>
      </c>
      <c r="B1" s="16"/>
    </row>
    <row r="3" ht="72.0" customHeight="1">
      <c r="A3" s="5" t="s">
        <v>324</v>
      </c>
      <c r="B3" s="10" t="s">
        <v>325</v>
      </c>
    </row>
    <row r="4" ht="72.0" customHeight="1">
      <c r="A4" s="5" t="s">
        <v>326</v>
      </c>
      <c r="B4" s="10" t="s">
        <v>327</v>
      </c>
    </row>
    <row r="5" ht="72.0" customHeight="1">
      <c r="A5" s="5" t="s">
        <v>328</v>
      </c>
      <c r="B5" s="10" t="s">
        <v>329</v>
      </c>
    </row>
    <row r="6" ht="72.0" customHeight="1">
      <c r="A6" s="5" t="s">
        <v>330</v>
      </c>
      <c r="B6" s="10" t="s">
        <v>331</v>
      </c>
    </row>
    <row r="7" ht="72.0" customHeight="1">
      <c r="A7" s="5" t="s">
        <v>332</v>
      </c>
      <c r="B7" s="10" t="s">
        <v>333</v>
      </c>
    </row>
    <row r="8" ht="72.0" customHeight="1">
      <c r="A8" s="5" t="s">
        <v>334</v>
      </c>
      <c r="B8" s="10" t="s">
        <v>335</v>
      </c>
    </row>
    <row r="9" ht="72.0" customHeight="1">
      <c r="A9" s="5" t="s">
        <v>336</v>
      </c>
      <c r="B9" s="10" t="s">
        <v>337</v>
      </c>
    </row>
    <row r="10" ht="72.0" customHeight="1">
      <c r="A10" s="5" t="s">
        <v>338</v>
      </c>
      <c r="B10" s="10" t="s">
        <v>339</v>
      </c>
    </row>
    <row r="11" ht="72.0" customHeight="1">
      <c r="A11" s="5" t="s">
        <v>340</v>
      </c>
      <c r="B11" s="10" t="s">
        <v>341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34.0"/>
    <col customWidth="1" min="3" max="4" width="10.0"/>
    <col customWidth="1" min="5" max="5" width="22.0"/>
    <col customWidth="1" min="6" max="6" width="28.0"/>
    <col customWidth="1" min="7" max="7" width="20.0"/>
    <col customWidth="1" min="8" max="26" width="8.71"/>
  </cols>
  <sheetData>
    <row r="1">
      <c r="A1" s="18" t="s">
        <v>342</v>
      </c>
    </row>
    <row r="2" ht="42.0" customHeight="1">
      <c r="A2" s="19" t="s">
        <v>343</v>
      </c>
      <c r="B2" s="15"/>
      <c r="C2" s="15"/>
      <c r="D2" s="15"/>
      <c r="E2" s="15"/>
      <c r="F2" s="15"/>
      <c r="G2" s="16"/>
    </row>
    <row r="3" ht="27.75" customHeight="1">
      <c r="A3" s="19" t="s">
        <v>344</v>
      </c>
      <c r="B3" s="15"/>
      <c r="C3" s="15"/>
      <c r="D3" s="15"/>
      <c r="E3" s="15"/>
      <c r="F3" s="15"/>
      <c r="G3" s="16"/>
    </row>
    <row r="5">
      <c r="A5" s="20" t="s">
        <v>0</v>
      </c>
      <c r="B5" s="20" t="s">
        <v>345</v>
      </c>
      <c r="C5" s="20" t="s">
        <v>3</v>
      </c>
      <c r="D5" s="20" t="s">
        <v>4</v>
      </c>
      <c r="E5" s="20" t="s">
        <v>346</v>
      </c>
      <c r="F5" s="20" t="s">
        <v>347</v>
      </c>
      <c r="G5" s="20" t="s">
        <v>348</v>
      </c>
    </row>
    <row r="6">
      <c r="A6" s="21" t="s">
        <v>79</v>
      </c>
      <c r="B6" s="21" t="s">
        <v>349</v>
      </c>
      <c r="C6" s="21">
        <v>6.0</v>
      </c>
      <c r="D6" s="21">
        <v>17.17</v>
      </c>
      <c r="E6" s="21" t="s">
        <v>350</v>
      </c>
      <c r="F6" s="21"/>
      <c r="G6" s="21" t="s">
        <v>351</v>
      </c>
    </row>
    <row r="7">
      <c r="A7" s="21" t="s">
        <v>86</v>
      </c>
      <c r="B7" s="21" t="s">
        <v>352</v>
      </c>
      <c r="C7" s="21">
        <v>6.49</v>
      </c>
      <c r="D7" s="21">
        <v>20.81</v>
      </c>
      <c r="E7" s="21" t="s">
        <v>353</v>
      </c>
      <c r="F7" s="21" t="s">
        <v>354</v>
      </c>
      <c r="G7" s="21" t="s">
        <v>355</v>
      </c>
    </row>
    <row r="8">
      <c r="A8" s="21" t="s">
        <v>64</v>
      </c>
      <c r="B8" s="21" t="s">
        <v>356</v>
      </c>
      <c r="C8" s="21">
        <v>5.95</v>
      </c>
      <c r="D8" s="21">
        <v>16.09</v>
      </c>
      <c r="E8" s="21" t="s">
        <v>350</v>
      </c>
      <c r="F8" s="21"/>
      <c r="G8" s="21" t="s">
        <v>351</v>
      </c>
    </row>
    <row r="9">
      <c r="A9" s="21" t="s">
        <v>148</v>
      </c>
      <c r="B9" s="21" t="s">
        <v>357</v>
      </c>
      <c r="C9" s="21">
        <v>9.71</v>
      </c>
      <c r="D9" s="21">
        <v>29.34</v>
      </c>
      <c r="E9" s="21" t="s">
        <v>350</v>
      </c>
      <c r="F9" s="21"/>
      <c r="G9" s="21" t="s">
        <v>351</v>
      </c>
    </row>
    <row r="10">
      <c r="A10" s="21" t="s">
        <v>99</v>
      </c>
      <c r="B10" s="21" t="s">
        <v>358</v>
      </c>
      <c r="C10" s="21">
        <v>7.34</v>
      </c>
      <c r="D10" s="21">
        <v>7.91</v>
      </c>
      <c r="E10" s="21" t="s">
        <v>353</v>
      </c>
      <c r="F10" s="21" t="s">
        <v>354</v>
      </c>
      <c r="G10" s="21" t="s">
        <v>359</v>
      </c>
    </row>
    <row r="11">
      <c r="A11" s="21" t="s">
        <v>156</v>
      </c>
      <c r="B11" s="21" t="s">
        <v>360</v>
      </c>
      <c r="C11" s="21">
        <v>32.54</v>
      </c>
      <c r="D11" s="21">
        <v>32.54</v>
      </c>
      <c r="E11" s="21" t="s">
        <v>353</v>
      </c>
      <c r="F11" s="21" t="s">
        <v>361</v>
      </c>
      <c r="G11" s="21" t="s">
        <v>359</v>
      </c>
    </row>
    <row r="12">
      <c r="A12" s="21" t="s">
        <v>176</v>
      </c>
      <c r="B12" s="21" t="s">
        <v>362</v>
      </c>
      <c r="C12" s="21">
        <v>4.59</v>
      </c>
      <c r="D12" s="21">
        <v>9.83</v>
      </c>
      <c r="E12" s="21" t="s">
        <v>350</v>
      </c>
      <c r="F12" s="21"/>
      <c r="G12" s="21" t="s">
        <v>351</v>
      </c>
    </row>
    <row r="13">
      <c r="A13" s="21" t="s">
        <v>185</v>
      </c>
      <c r="B13" s="21" t="s">
        <v>363</v>
      </c>
      <c r="C13" s="21">
        <v>8.32</v>
      </c>
      <c r="D13" s="21">
        <v>8.79</v>
      </c>
      <c r="E13" s="21" t="s">
        <v>364</v>
      </c>
      <c r="F13" s="21" t="s">
        <v>365</v>
      </c>
      <c r="G13" s="21" t="s">
        <v>359</v>
      </c>
    </row>
    <row r="14">
      <c r="A14" s="21" t="s">
        <v>201</v>
      </c>
      <c r="B14" s="21" t="s">
        <v>366</v>
      </c>
      <c r="C14" s="21">
        <v>8.15</v>
      </c>
      <c r="D14" s="21">
        <v>8.15</v>
      </c>
      <c r="E14" s="21" t="s">
        <v>350</v>
      </c>
      <c r="F14" s="21"/>
      <c r="G14" s="21" t="s">
        <v>351</v>
      </c>
    </row>
    <row r="15">
      <c r="A15" s="21" t="s">
        <v>210</v>
      </c>
      <c r="B15" s="21" t="s">
        <v>356</v>
      </c>
      <c r="C15" s="21">
        <v>5.95</v>
      </c>
      <c r="D15" s="21">
        <v>16.09</v>
      </c>
      <c r="E15" s="21" t="s">
        <v>350</v>
      </c>
      <c r="F15" s="21"/>
      <c r="G15" s="21" t="s">
        <v>351</v>
      </c>
    </row>
    <row r="16">
      <c r="A16" s="21" t="s">
        <v>218</v>
      </c>
      <c r="B16" s="21" t="s">
        <v>367</v>
      </c>
      <c r="C16" s="21">
        <v>7.26</v>
      </c>
      <c r="D16" s="21">
        <v>7.26</v>
      </c>
      <c r="E16" s="21" t="s">
        <v>350</v>
      </c>
      <c r="F16" s="21"/>
      <c r="G16" s="21" t="s">
        <v>351</v>
      </c>
    </row>
    <row r="17">
      <c r="A17" s="21" t="s">
        <v>129</v>
      </c>
      <c r="B17" s="21" t="s">
        <v>368</v>
      </c>
      <c r="C17" s="21">
        <v>10.49</v>
      </c>
      <c r="D17" s="21">
        <v>10.59</v>
      </c>
      <c r="E17" s="21" t="s">
        <v>350</v>
      </c>
      <c r="F17" s="21"/>
      <c r="G17" s="21" t="s">
        <v>351</v>
      </c>
    </row>
    <row r="18">
      <c r="A18" s="21" t="s">
        <v>227</v>
      </c>
      <c r="B18" s="21" t="s">
        <v>369</v>
      </c>
      <c r="C18" s="21">
        <v>5.95</v>
      </c>
      <c r="D18" s="21">
        <v>16.09</v>
      </c>
      <c r="E18" s="21" t="s">
        <v>353</v>
      </c>
      <c r="F18" s="21" t="s">
        <v>354</v>
      </c>
      <c r="G18" s="21" t="s">
        <v>359</v>
      </c>
    </row>
    <row r="19">
      <c r="A19" s="21" t="s">
        <v>223</v>
      </c>
      <c r="B19" s="21" t="s">
        <v>370</v>
      </c>
      <c r="C19" s="21">
        <v>5.95</v>
      </c>
      <c r="D19" s="21">
        <v>17.15</v>
      </c>
      <c r="E19" s="21" t="s">
        <v>353</v>
      </c>
      <c r="F19" s="21" t="s">
        <v>371</v>
      </c>
      <c r="G19" s="21" t="s">
        <v>355</v>
      </c>
    </row>
    <row r="20">
      <c r="A20" s="21" t="s">
        <v>232</v>
      </c>
      <c r="B20" s="21" t="s">
        <v>356</v>
      </c>
      <c r="C20" s="21">
        <v>5.95</v>
      </c>
      <c r="D20" s="21">
        <v>16.09</v>
      </c>
      <c r="E20" s="21" t="s">
        <v>350</v>
      </c>
      <c r="F20" s="21"/>
      <c r="G20" s="21" t="s">
        <v>351</v>
      </c>
    </row>
    <row r="21" ht="15.75" customHeight="1">
      <c r="A21" s="21" t="s">
        <v>250</v>
      </c>
      <c r="B21" s="21" t="s">
        <v>372</v>
      </c>
      <c r="C21" s="21">
        <v>8.17</v>
      </c>
      <c r="D21" s="21">
        <v>8.17</v>
      </c>
      <c r="E21" s="21" t="s">
        <v>350</v>
      </c>
      <c r="F21" s="21"/>
      <c r="G21" s="21" t="s">
        <v>351</v>
      </c>
    </row>
    <row r="22" ht="15.75" customHeight="1">
      <c r="A22" s="21" t="s">
        <v>245</v>
      </c>
      <c r="B22" s="21" t="s">
        <v>56</v>
      </c>
      <c r="C22" s="21"/>
      <c r="D22" s="21"/>
      <c r="E22" s="21" t="s">
        <v>350</v>
      </c>
      <c r="F22" s="21"/>
      <c r="G22" s="21" t="s">
        <v>373</v>
      </c>
    </row>
    <row r="23" ht="15.75" customHeight="1">
      <c r="A23" s="21" t="s">
        <v>255</v>
      </c>
      <c r="B23" s="21" t="s">
        <v>374</v>
      </c>
      <c r="C23" s="21">
        <v>8.15</v>
      </c>
      <c r="D23" s="21">
        <v>8.15</v>
      </c>
      <c r="E23" s="21" t="s">
        <v>353</v>
      </c>
      <c r="F23" s="21" t="s">
        <v>354</v>
      </c>
      <c r="G23" s="21" t="s">
        <v>359</v>
      </c>
    </row>
    <row r="24" ht="15.75" customHeight="1">
      <c r="A24" s="21" t="s">
        <v>198</v>
      </c>
      <c r="B24" s="21" t="s">
        <v>375</v>
      </c>
      <c r="C24" s="21">
        <v>5.95</v>
      </c>
      <c r="D24" s="21">
        <v>16.09</v>
      </c>
      <c r="E24" s="21" t="s">
        <v>353</v>
      </c>
      <c r="F24" s="21" t="s">
        <v>354</v>
      </c>
      <c r="G24" s="21" t="s">
        <v>359</v>
      </c>
    </row>
    <row r="25" ht="15.75" customHeight="1">
      <c r="A25" s="21" t="s">
        <v>273</v>
      </c>
      <c r="B25" s="21" t="s">
        <v>356</v>
      </c>
      <c r="C25" s="21">
        <v>5.95</v>
      </c>
      <c r="D25" s="21">
        <v>16.09</v>
      </c>
      <c r="E25" s="21" t="s">
        <v>350</v>
      </c>
      <c r="F25" s="21"/>
      <c r="G25" s="21" t="s">
        <v>351</v>
      </c>
    </row>
    <row r="26" ht="15.75" customHeight="1">
      <c r="A26" s="21" t="s">
        <v>263</v>
      </c>
      <c r="B26" s="21" t="s">
        <v>376</v>
      </c>
      <c r="C26" s="21">
        <v>13.5</v>
      </c>
      <c r="D26" s="21">
        <v>15.75</v>
      </c>
      <c r="E26" s="21" t="s">
        <v>353</v>
      </c>
      <c r="F26" s="21" t="s">
        <v>354</v>
      </c>
      <c r="G26" s="21" t="s">
        <v>359</v>
      </c>
    </row>
    <row r="27" ht="15.75" customHeight="1">
      <c r="A27" s="21" t="s">
        <v>258</v>
      </c>
      <c r="B27" s="21" t="s">
        <v>377</v>
      </c>
      <c r="C27" s="21">
        <v>15.75</v>
      </c>
      <c r="D27" s="21">
        <v>15.75</v>
      </c>
      <c r="E27" s="21" t="s">
        <v>364</v>
      </c>
      <c r="F27" s="21" t="s">
        <v>365</v>
      </c>
      <c r="G27" s="21" t="s">
        <v>359</v>
      </c>
    </row>
    <row r="28" ht="15.75" customHeight="1">
      <c r="A28" s="21" t="s">
        <v>16</v>
      </c>
      <c r="B28" s="21" t="s">
        <v>56</v>
      </c>
      <c r="C28" s="21"/>
      <c r="D28" s="21"/>
      <c r="E28" s="21" t="s">
        <v>350</v>
      </c>
      <c r="F28" s="21"/>
      <c r="G28" s="21" t="s">
        <v>373</v>
      </c>
    </row>
    <row r="29" ht="15.75" customHeight="1">
      <c r="A29" s="21" t="s">
        <v>41</v>
      </c>
      <c r="B29" s="21" t="s">
        <v>378</v>
      </c>
      <c r="C29" s="21">
        <v>3.95</v>
      </c>
      <c r="D29" s="21">
        <v>24.99</v>
      </c>
      <c r="E29" s="21" t="s">
        <v>353</v>
      </c>
      <c r="F29" s="21" t="s">
        <v>354</v>
      </c>
      <c r="G29" s="21" t="s">
        <v>355</v>
      </c>
    </row>
    <row r="30" ht="15.75" customHeight="1">
      <c r="A30" s="21" t="s">
        <v>51</v>
      </c>
      <c r="B30" s="21" t="s">
        <v>379</v>
      </c>
      <c r="C30" s="21">
        <v>14.82</v>
      </c>
      <c r="D30" s="21">
        <v>29.27</v>
      </c>
      <c r="E30" s="21" t="s">
        <v>353</v>
      </c>
      <c r="F30" s="21" t="s">
        <v>354</v>
      </c>
      <c r="G30" s="21" t="s">
        <v>355</v>
      </c>
    </row>
    <row r="31" ht="15.75" customHeight="1">
      <c r="A31" s="21" t="s">
        <v>35</v>
      </c>
      <c r="B31" s="21" t="s">
        <v>380</v>
      </c>
      <c r="C31" s="21">
        <v>22.8</v>
      </c>
      <c r="D31" s="21">
        <v>22.8</v>
      </c>
      <c r="E31" s="21" t="s">
        <v>364</v>
      </c>
      <c r="F31" s="21" t="s">
        <v>365</v>
      </c>
      <c r="G31" s="21" t="s">
        <v>359</v>
      </c>
    </row>
    <row r="32" ht="15.75" customHeight="1">
      <c r="A32" s="21" t="s">
        <v>126</v>
      </c>
      <c r="B32" s="21"/>
      <c r="C32" s="21"/>
      <c r="D32" s="21"/>
      <c r="E32" s="21" t="s">
        <v>350</v>
      </c>
      <c r="F32" s="21"/>
      <c r="G32" s="21" t="s">
        <v>373</v>
      </c>
    </row>
    <row r="33" ht="15.75" customHeight="1">
      <c r="A33" s="21" t="s">
        <v>27</v>
      </c>
      <c r="B33" s="21" t="s">
        <v>56</v>
      </c>
      <c r="C33" s="21"/>
      <c r="D33" s="21"/>
      <c r="E33" s="21" t="s">
        <v>350</v>
      </c>
      <c r="F33" s="21"/>
      <c r="G33" s="21" t="s">
        <v>373</v>
      </c>
    </row>
    <row r="34" ht="15.75" customHeight="1">
      <c r="A34" s="21" t="s">
        <v>71</v>
      </c>
      <c r="B34" s="21" t="s">
        <v>381</v>
      </c>
      <c r="C34" s="21">
        <v>8.15</v>
      </c>
      <c r="D34" s="21">
        <v>8.15</v>
      </c>
      <c r="E34" s="21" t="s">
        <v>350</v>
      </c>
      <c r="F34" s="21"/>
      <c r="G34" s="21" t="s">
        <v>351</v>
      </c>
    </row>
    <row r="35" ht="15.75" customHeight="1">
      <c r="A35" s="21" t="s">
        <v>92</v>
      </c>
      <c r="B35" s="21" t="s">
        <v>382</v>
      </c>
      <c r="C35" s="21">
        <v>5.95</v>
      </c>
      <c r="D35" s="21">
        <v>16.09</v>
      </c>
      <c r="E35" s="21" t="s">
        <v>353</v>
      </c>
      <c r="F35" s="21" t="s">
        <v>354</v>
      </c>
      <c r="G35" s="21" t="s">
        <v>359</v>
      </c>
    </row>
    <row r="36" ht="15.75" customHeight="1">
      <c r="A36" s="21" t="s">
        <v>106</v>
      </c>
      <c r="B36" s="21" t="s">
        <v>383</v>
      </c>
      <c r="C36" s="21">
        <v>6.95</v>
      </c>
      <c r="D36" s="21">
        <v>14.75</v>
      </c>
      <c r="E36" s="21" t="s">
        <v>350</v>
      </c>
      <c r="F36" s="21"/>
      <c r="G36" s="21" t="s">
        <v>351</v>
      </c>
    </row>
    <row r="37" ht="15.75" customHeight="1">
      <c r="A37" s="21" t="s">
        <v>113</v>
      </c>
      <c r="B37" s="21" t="s">
        <v>356</v>
      </c>
      <c r="C37" s="21">
        <v>5.95</v>
      </c>
      <c r="D37" s="21">
        <v>16.09</v>
      </c>
      <c r="E37" s="21" t="s">
        <v>350</v>
      </c>
      <c r="F37" s="21"/>
      <c r="G37" s="21" t="s">
        <v>351</v>
      </c>
    </row>
    <row r="38" ht="15.75" customHeight="1">
      <c r="A38" s="21" t="s">
        <v>140</v>
      </c>
      <c r="B38" s="21" t="s">
        <v>384</v>
      </c>
      <c r="C38" s="21">
        <v>6.65</v>
      </c>
      <c r="D38" s="21">
        <v>7.18</v>
      </c>
      <c r="E38" s="21" t="s">
        <v>350</v>
      </c>
      <c r="F38" s="21"/>
      <c r="G38" s="21" t="s">
        <v>351</v>
      </c>
    </row>
    <row r="39" ht="15.75" customHeight="1">
      <c r="A39" s="21" t="s">
        <v>122</v>
      </c>
      <c r="B39" s="21" t="s">
        <v>385</v>
      </c>
      <c r="C39" s="21">
        <v>8.01</v>
      </c>
      <c r="D39" s="21">
        <v>8.15</v>
      </c>
      <c r="E39" s="21" t="s">
        <v>353</v>
      </c>
      <c r="F39" s="21" t="s">
        <v>354</v>
      </c>
      <c r="G39" s="21" t="s">
        <v>355</v>
      </c>
    </row>
    <row r="40" ht="15.75" customHeight="1">
      <c r="A40" s="21" t="s">
        <v>162</v>
      </c>
      <c r="B40" s="21" t="s">
        <v>386</v>
      </c>
      <c r="C40" s="21">
        <v>7.23</v>
      </c>
      <c r="D40" s="21">
        <v>7.37</v>
      </c>
      <c r="E40" s="21" t="s">
        <v>353</v>
      </c>
      <c r="F40" s="21" t="s">
        <v>354</v>
      </c>
      <c r="G40" s="21" t="s">
        <v>359</v>
      </c>
    </row>
    <row r="41" ht="15.75" customHeight="1">
      <c r="A41" s="21" t="s">
        <v>168</v>
      </c>
      <c r="B41" s="21" t="s">
        <v>387</v>
      </c>
      <c r="C41" s="21">
        <v>8.01</v>
      </c>
      <c r="D41" s="21">
        <v>8.15</v>
      </c>
      <c r="E41" s="21" t="s">
        <v>350</v>
      </c>
      <c r="F41" s="21"/>
      <c r="G41" s="21" t="s">
        <v>351</v>
      </c>
    </row>
    <row r="42" ht="15.75" customHeight="1">
      <c r="A42" s="21" t="s">
        <v>95</v>
      </c>
      <c r="B42" s="21" t="s">
        <v>356</v>
      </c>
      <c r="C42" s="21">
        <v>5.95</v>
      </c>
      <c r="D42" s="21">
        <v>16.09</v>
      </c>
      <c r="E42" s="21" t="s">
        <v>353</v>
      </c>
      <c r="F42" s="21" t="s">
        <v>371</v>
      </c>
      <c r="G42" s="21" t="s">
        <v>355</v>
      </c>
    </row>
    <row r="43" ht="15.75" customHeight="1">
      <c r="A43" s="21" t="s">
        <v>116</v>
      </c>
      <c r="B43" s="21" t="s">
        <v>388</v>
      </c>
      <c r="C43" s="21">
        <v>6.15</v>
      </c>
      <c r="D43" s="21">
        <v>14.85</v>
      </c>
      <c r="E43" s="21" t="s">
        <v>350</v>
      </c>
      <c r="F43" s="21"/>
      <c r="G43" s="21" t="s">
        <v>351</v>
      </c>
    </row>
    <row r="44" ht="15.75" customHeight="1">
      <c r="A44" s="21" t="s">
        <v>181</v>
      </c>
      <c r="B44" s="21" t="s">
        <v>389</v>
      </c>
      <c r="C44" s="21">
        <v>8.15</v>
      </c>
      <c r="D44" s="21">
        <v>8.15</v>
      </c>
      <c r="E44" s="21" t="s">
        <v>350</v>
      </c>
      <c r="F44" s="21"/>
      <c r="G44" s="21" t="s">
        <v>351</v>
      </c>
    </row>
    <row r="45" ht="15.75" customHeight="1">
      <c r="A45" s="21" t="s">
        <v>192</v>
      </c>
      <c r="B45" s="21" t="s">
        <v>390</v>
      </c>
      <c r="C45" s="21">
        <v>5.2</v>
      </c>
      <c r="D45" s="21">
        <v>15.34</v>
      </c>
      <c r="E45" s="21" t="s">
        <v>391</v>
      </c>
      <c r="F45" s="21" t="s">
        <v>392</v>
      </c>
      <c r="G45" s="21" t="s">
        <v>355</v>
      </c>
    </row>
    <row r="46" ht="15.75" customHeight="1">
      <c r="A46" s="21" t="s">
        <v>205</v>
      </c>
      <c r="B46" s="21" t="s">
        <v>393</v>
      </c>
      <c r="C46" s="21">
        <v>6.4</v>
      </c>
      <c r="D46" s="21">
        <v>16.95</v>
      </c>
      <c r="E46" s="21" t="s">
        <v>353</v>
      </c>
      <c r="F46" s="21" t="s">
        <v>371</v>
      </c>
      <c r="G46" s="21" t="s">
        <v>359</v>
      </c>
    </row>
    <row r="47" ht="15.75" customHeight="1">
      <c r="A47" s="21" t="s">
        <v>214</v>
      </c>
      <c r="B47" s="21" t="s">
        <v>394</v>
      </c>
      <c r="C47" s="21">
        <v>8.64</v>
      </c>
      <c r="D47" s="21">
        <v>8.64</v>
      </c>
      <c r="E47" s="21" t="s">
        <v>350</v>
      </c>
      <c r="F47" s="21"/>
      <c r="G47" s="21" t="s">
        <v>351</v>
      </c>
    </row>
    <row r="48" ht="15.75" customHeight="1">
      <c r="A48" s="21" t="s">
        <v>239</v>
      </c>
      <c r="B48" s="21" t="s">
        <v>395</v>
      </c>
      <c r="C48" s="21">
        <v>6.2</v>
      </c>
      <c r="D48" s="21">
        <v>16.34</v>
      </c>
      <c r="E48" s="21" t="s">
        <v>353</v>
      </c>
      <c r="F48" s="21" t="s">
        <v>354</v>
      </c>
      <c r="G48" s="21" t="s">
        <v>359</v>
      </c>
    </row>
    <row r="49" ht="15.75" customHeight="1">
      <c r="A49" s="21" t="s">
        <v>266</v>
      </c>
      <c r="B49" s="21" t="s">
        <v>356</v>
      </c>
      <c r="C49" s="21">
        <v>5.95</v>
      </c>
      <c r="D49" s="21">
        <v>16.09</v>
      </c>
      <c r="E49" s="21" t="s">
        <v>350</v>
      </c>
      <c r="F49" s="21"/>
      <c r="G49" s="21" t="s">
        <v>351</v>
      </c>
    </row>
    <row r="50" ht="15.75" customHeight="1">
      <c r="A50" s="21" t="s">
        <v>235</v>
      </c>
      <c r="B50" s="21" t="s">
        <v>396</v>
      </c>
      <c r="C50" s="21">
        <v>5.67</v>
      </c>
      <c r="D50" s="21">
        <v>5.67</v>
      </c>
      <c r="E50" s="21" t="s">
        <v>353</v>
      </c>
      <c r="F50" s="21" t="s">
        <v>354</v>
      </c>
      <c r="G50" s="21" t="s">
        <v>359</v>
      </c>
    </row>
    <row r="51" ht="15.75" customHeight="1">
      <c r="A51" s="21" t="s">
        <v>276</v>
      </c>
      <c r="B51" s="21" t="s">
        <v>397</v>
      </c>
      <c r="C51" s="21">
        <v>6.18</v>
      </c>
      <c r="D51" s="21">
        <v>14.7</v>
      </c>
      <c r="E51" s="21" t="s">
        <v>350</v>
      </c>
      <c r="F51" s="21"/>
      <c r="G51" s="21" t="s">
        <v>351</v>
      </c>
    </row>
    <row r="52" ht="15.75" customHeight="1">
      <c r="A52" s="21" t="s">
        <v>281</v>
      </c>
      <c r="B52" s="21" t="s">
        <v>398</v>
      </c>
      <c r="C52" s="21">
        <v>5.45</v>
      </c>
      <c r="D52" s="21">
        <v>15.59</v>
      </c>
      <c r="E52" s="21" t="s">
        <v>350</v>
      </c>
      <c r="F52" s="21"/>
      <c r="G52" s="21" t="s">
        <v>351</v>
      </c>
    </row>
    <row r="53" ht="15.75" customHeight="1">
      <c r="A53" s="21" t="s">
        <v>58</v>
      </c>
      <c r="B53" s="21" t="s">
        <v>399</v>
      </c>
      <c r="C53" s="21">
        <v>9.82</v>
      </c>
      <c r="D53" s="21">
        <v>18.91</v>
      </c>
      <c r="E53" s="21" t="s">
        <v>350</v>
      </c>
      <c r="F53" s="21"/>
      <c r="G53" s="21" t="s">
        <v>351</v>
      </c>
    </row>
    <row r="54" ht="15.75" customHeight="1">
      <c r="A54" s="21" t="s">
        <v>135</v>
      </c>
      <c r="B54" s="21" t="s">
        <v>400</v>
      </c>
      <c r="C54" s="21">
        <v>5.24</v>
      </c>
      <c r="D54" s="21">
        <v>13.97</v>
      </c>
      <c r="E54" s="21" t="s">
        <v>350</v>
      </c>
      <c r="F54" s="21"/>
      <c r="G54" s="21" t="s">
        <v>351</v>
      </c>
    </row>
    <row r="55" ht="15.75" customHeight="1">
      <c r="A55" s="21" t="s">
        <v>171</v>
      </c>
      <c r="B55" s="21" t="s">
        <v>401</v>
      </c>
      <c r="C55" s="21">
        <v>5.48</v>
      </c>
      <c r="D55" s="21">
        <v>15.33</v>
      </c>
      <c r="E55" s="21" t="s">
        <v>350</v>
      </c>
      <c r="F55" s="21"/>
      <c r="G55" s="21" t="s">
        <v>351</v>
      </c>
    </row>
    <row r="56" ht="15.75" customHeight="1">
      <c r="A56" s="21" t="s">
        <v>270</v>
      </c>
      <c r="B56" s="21" t="s">
        <v>56</v>
      </c>
      <c r="C56" s="21"/>
      <c r="D56" s="21"/>
      <c r="E56" s="21" t="s">
        <v>350</v>
      </c>
      <c r="F56" s="21"/>
      <c r="G56" s="21" t="s">
        <v>373</v>
      </c>
    </row>
    <row r="57" ht="15.75" customHeight="1"/>
    <row r="58" ht="15.75" customHeight="1">
      <c r="A58" s="22" t="s">
        <v>402</v>
      </c>
    </row>
    <row r="59" ht="15.75" customHeight="1">
      <c r="A59" s="23" t="s">
        <v>353</v>
      </c>
      <c r="B59" s="23">
        <v>17.0</v>
      </c>
    </row>
    <row r="60" ht="15.75" customHeight="1">
      <c r="A60" s="23" t="s">
        <v>391</v>
      </c>
      <c r="B60" s="23">
        <v>1.0</v>
      </c>
    </row>
    <row r="61" ht="15.75" customHeight="1">
      <c r="A61" s="23" t="s">
        <v>364</v>
      </c>
      <c r="B61" s="23">
        <v>3.0</v>
      </c>
    </row>
    <row r="62" ht="15.75" customHeight="1">
      <c r="A62" s="23" t="s">
        <v>350</v>
      </c>
      <c r="B62" s="23">
        <v>30.0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A2:G2"/>
    <mergeCell ref="A3:G3"/>
  </mergeCells>
  <printOptions/>
  <pageMargins bottom="1.0" footer="0.0" header="0.0" left="0.75" right="0.75" top="1.0"/>
  <pageSetup orientation="landscape"/>
  <drawing r:id="rId1"/>
</worksheet>
</file>