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 Web Search Data" sheetId="1" r:id="rId5"/>
    <sheet state="visible" name="Citation Sources" sheetId="2" r:id="rId6"/>
    <sheet state="visible" name="Summary Stats" sheetId="3" r:id="rId7"/>
    <sheet state="visible" name="Methodology" sheetId="4" r:id="rId8"/>
    <sheet state="visible" name="APR Classification" sheetId="5" r:id="rId9"/>
  </sheets>
  <definedNames>
    <definedName hidden="1" localSheetId="0" name="_xlnm._FilterDatabase">'AI + Web Search Data'!$A$1:$P$1</definedName>
    <definedName hidden="1" localSheetId="1" name="_xlnm._FilterDatabase">'Citation Sources'!$A$1:$B$1</definedName>
  </definedNames>
  <calcPr/>
</workbook>
</file>

<file path=xl/sharedStrings.xml><?xml version="1.0" encoding="utf-8"?>
<sst xmlns="http://schemas.openxmlformats.org/spreadsheetml/2006/main" count="1064" uniqueCount="525">
  <si>
    <t>Bank</t>
  </si>
  <si>
    <t>Product Type</t>
  </si>
  <si>
    <t>Product Page URL</t>
  </si>
  <si>
    <t>Min APR</t>
  </si>
  <si>
    <t>Max APR</t>
  </si>
  <si>
    <t>Max Loan Amount</t>
  </si>
  <si>
    <t>Min Loan Amount</t>
  </si>
  <si>
    <t>Min Age</t>
  </si>
  <si>
    <t>Max Term</t>
  </si>
  <si>
    <t>Searches Run</t>
  </si>
  <si>
    <t>Search Queries
(EXPOSED by Gemini)</t>
  </si>
  <si>
    <t>Cited Domains
(shaped the answer)</t>
  </si>
  <si>
    <t>Cited Snippets</t>
  </si>
  <si>
    <t>All Result URLs
(returned by search engine)</t>
  </si>
  <si>
    <t>Notes</t>
  </si>
  <si>
    <t>Data Source</t>
  </si>
  <si>
    <t>Avida Finans AB</t>
  </si>
  <si>
    <t>consumer_loan</t>
  </si>
  <si>
    <t>https://www.avidafinans.se/privat/privatlan/</t>
  </si>
  <si>
    <t>11.15%</t>
  </si>
  <si>
    <t>29.50%</t>
  </si>
  <si>
    <t>350000 SEK</t>
  </si>
  <si>
    <t>10000 SEK</t>
  </si>
  <si>
    <t>20</t>
  </si>
  <si>
    <t>15 years</t>
  </si>
  <si>
    <t>• Avida Finans AB privatlån
• Avida Finans lån ränta villkor
• Avida Finans lån
• Avida Finans AB consumer loan terms sweden</t>
  </si>
  <si>
    <t>(Gemini exposes only opaque Vertex
redirect URIs, not source URLs.)</t>
  </si>
  <si>
    <t>Individual interest rate (nominal 5.9% - 19.79%) based on creditworthiness. No collateral required. Annuitetslån with the same monthly payment. No extra cost for early repayment or additional amortiza</t>
  </si>
  <si>
    <t>Google Gemini 2.5 Flash + google_search grounding</t>
  </si>
  <si>
    <t>Bjursås Sparbank</t>
  </si>
  <si>
    <t>https://www.bjursassparbank.se/lana/privatlan/lana-pengar-ansok-om-privatlan.html</t>
  </si>
  <si>
    <t>5.95%</t>
  </si>
  <si>
    <t>16.09%</t>
  </si>
  <si>
    <t>500000</t>
  </si>
  <si>
    <t>20000</t>
  </si>
  <si>
    <t>18</t>
  </si>
  <si>
    <t>12 år</t>
  </si>
  <si>
    <t>• Bjursås Sparbank privatlån
• Bjursås Sparbank konsumentkredit villkor
• Bjursås Sparbank räntor privatlån
• Bjursås Sparbank lånevillkor</t>
  </si>
  <si>
    <t>bjursassparbank.se</t>
  </si>
  <si>
    <t>bjursassparbank.se
bjursassparbank.se
bjursassparbank.se
bjursassparbank.se
bjursassparbank.se</t>
  </si>
  <si>
    <t>The interest rate is variable and set individually based on the borrower's financial circumstances. An establishment fee of 575 SEK applies. There is no invoicing fee for e-invoices. Borrowers must be</t>
  </si>
  <si>
    <t>Brixo AB</t>
  </si>
  <si>
    <t>https://www.brixo.se/privatlan</t>
  </si>
  <si>
    <t>22.80%</t>
  </si>
  <si>
    <t>150000</t>
  </si>
  <si>
    <t>10000</t>
  </si>
  <si>
    <t>21</t>
  </si>
  <si>
    <t>• Brixo AB officiella hemsida
• Brixo AB privatlån villkor
• Brixo AB ränta</t>
  </si>
  <si>
    <t>brixo.se
bank.se
kreditkoll.nu
finansvalp.se
xn--lnea-qoa.se</t>
  </si>
  <si>
    <t>brixo.se
brixo.se
bank.se
kreditkoll.nu
brixo.se
finansvalp.se
xn--lnea-qoa.se</t>
  </si>
  <si>
    <t>Brixo offers personal loans (privatlån) with a nominal annual interest rate of 19.95%. An establishment fee of 475 SEK and a monthly administration fee of 25 SEK apply. The effective annual percentage</t>
  </si>
  <si>
    <t>Brocc Finance AB</t>
  </si>
  <si>
    <t>https://www.brocc.se/lana</t>
  </si>
  <si>
    <t>7.60%</t>
  </si>
  <si>
    <t>30.00%</t>
  </si>
  <si>
    <t>400000</t>
  </si>
  <si>
    <t>15 år</t>
  </si>
  <si>
    <t>• Brocc Finance AB officiella produktsida
• Brocc Finance AB konsumentlån villkor
• Brocc Finance AB ränta
• Brocc Finance AB maximalt lånebelopp
• Brocc Finance AB åldersgräns
• Brocc Finance AB återbetalningstid</t>
  </si>
  <si>
    <t>mystep.se
brocc.se
enklare.se
lendo.se
ordnabolan.se
google.com
konsumentguiden.se
xn--lnen-qoa.se
sambla.se
advisa.se
axofinans.se
kreditkoll.nu
balanzia.se
thebanks.eu
gccab.com</t>
  </si>
  <si>
    <t>mystep.se
brocc.se
enklare.se
lendo.se
ordnabolan.se
google.com
konsumentguiden.se
xn--lnen-qoa.se
sambla.se
advisa.se
axofinans.se
kreditkoll.nu
balanzia.se
brocc.se
brocc.se
thebanks.eu
gccab.com</t>
  </si>
  <si>
    <t>Brocc offers unsecured consumer loans (privatlån) with an individual interest rate based on creditworthiness. To be eligible, applicants must have a minimum annual income of 150,000 SEK, be at least 2</t>
  </si>
  <si>
    <t>Credento Bank AB</t>
  </si>
  <si>
    <t>https://www.credento.se</t>
  </si>
  <si>
    <t>14.82%</t>
  </si>
  <si>
    <t>29.27%</t>
  </si>
  <si>
    <t>100000</t>
  </si>
  <si>
    <t>3000</t>
  </si>
  <si>
    <t>25</t>
  </si>
  <si>
    <t>12 years</t>
  </si>
  <si>
    <t>• Credento Bank AB konsumentlån
• Credento Bank AB räntor
• Credento Bank AB lånevillkor
• Credento Bank AB official website</t>
  </si>
  <si>
    <t>kreditkoll.nu
credento.se
trygga.com
mystep.se
zmarta.se
lendo.se
kreditium.se
xn--svenskaprivatln-ulb.se</t>
  </si>
  <si>
    <t>kreditkoll.nu
credento.se
trygga.com
mystep.se
zmarta.se
lendo.se
credento.se
kreditium.se
xn--svenskaprivatln-ulb.se
credento.se</t>
  </si>
  <si>
    <t xml:space="preserve">Credento is a brand of TF Bank AB, a Swedish bank. The interest rate is set individually based on a credit assessment via UC. There are no setup or annual fees. Borrowers can utilize two payment-free </t>
  </si>
  <si>
    <t>Facit Bank Filial</t>
  </si>
  <si>
    <t>https://www.facitbank.se/priser-og-betingelser/</t>
  </si>
  <si>
    <t>9.82%</t>
  </si>
  <si>
    <t>18.91%</t>
  </si>
  <si>
    <t>300000</t>
  </si>
  <si>
    <t>24</t>
  </si>
  <si>
    <t>15</t>
  </si>
  <si>
    <t>• Facit Bank Filial konsumtionslån
• Facit Bank Filial privatlån ränta
• Facit Bank Filial lån villkor</t>
  </si>
  <si>
    <t>kreditium.se
kreditkoll.nu
xn--svenskaprivatln-ulb.se
facitbank.se
lendo.se
mystep.se
trygga.com
xn--lnen-qoa.se</t>
  </si>
  <si>
    <t>kreditium.se
kreditkoll.nu
xn--svenskaprivatln-ulb.se
facitbank.se
lendo.se
facitbank.se
mystep.se
trygga.com
xn--lnen-qoa.se</t>
  </si>
  <si>
    <t>Facit Bank offers consumer loans and consolidation loans (samlingslån) without collateral. The interest rate is set individually. To be eligible, borrowers must be at least 24 years old, be registered</t>
  </si>
  <si>
    <t>Falkenbergs Sparbank AB</t>
  </si>
  <si>
    <t>https://www.falkenbergssparbank.se/privat/lana/privatlan.html</t>
  </si>
  <si>
    <t>500000 SEK</t>
  </si>
  <si>
    <t>20000 SEK</t>
  </si>
  <si>
    <t>• Falkenbergs Sparbank AB privatlån
• Falkenbergs Sparbank AB consumer loans
• Falkenbergs Sparbank officiell hemsida
• Falkenbergs Sparbank lånevillkor
• Falkenbergs Sparbank privatlån maxbelopp
• Falkenbergs Sparbank privatlån minsta belopp
• Falkenbergs Sparbank privatlån längsta återbetalningstid</t>
  </si>
  <si>
    <t>falkenbergssparbank.se</t>
  </si>
  <si>
    <t>falkenbergssparbank.se
falkenbergssparbank.se
falkenbergssparbank.se
falkenbergssparbank.se
falkenbergssparbank.se</t>
  </si>
  <si>
    <t>Setup fee is 300 SEK (0 SEK for Nyckelkund). Notification fee is 0 SEK. Borrower must be a customer of the bank and have a regular income (not benefits or student grants). No payment remarks are allow</t>
  </si>
  <si>
    <t>Högsby Sparbank</t>
  </si>
  <si>
    <t>https://www.hogsbysparbank.se/lana/lana-pengar/privatlan/</t>
  </si>
  <si>
    <t>6.20%</t>
  </si>
  <si>
    <t>16.34%</t>
  </si>
  <si>
    <t>350000</t>
  </si>
  <si>
    <t>50000</t>
  </si>
  <si>
    <t>• Högsby Sparbank privatlån
• Högsby Sparbank konsumtionslån villkor
• Högsby Sparbank räntor privatlån</t>
  </si>
  <si>
    <t>hogsbysparbank.se</t>
  </si>
  <si>
    <t>hogsbysparbank.se
hogsbysparbank.se
hogsbysparbank.se</t>
  </si>
  <si>
    <t>The APR range provided refers to the nominal interest rate (ränta), which is variable and set individually based on the borrower's financial circumstances. The effective annual percentage rate (effekt</t>
  </si>
  <si>
    <t>ICA Banken AB</t>
  </si>
  <si>
    <t>https://www.icabanken.se/lana/privatlan/</t>
  </si>
  <si>
    <t>6.00%</t>
  </si>
  <si>
    <t>17.17%</t>
  </si>
  <si>
    <t>600000</t>
  </si>
  <si>
    <t>• ICA Banken privatlån
• ICA Banken lånevillkor privatlån
• ICA Banken representativ ränta privatlån
• ICA Banken lånebelopp privatlån
• ICA Banken åldersgräns lån
• ICA Banken återbetalningstid lån</t>
  </si>
  <si>
    <t>Fast inkomst på minst 240 000 kr/år krävs. Inga betalningsanmärkningar accepteras. Lånet har ingen uppläggningsavgift. Aviavgift 35 kr/månad, men 0 kr vid autogiro eller e-faktura. Räntan är individue</t>
  </si>
  <si>
    <t>Ikano Bank AB</t>
  </si>
  <si>
    <t>https://www.ikanobank.se/lana-pengar/privatlan/</t>
  </si>
  <si>
    <t>6.22%</t>
  </si>
  <si>
    <t>18.87%</t>
  </si>
  <si>
    <t>• Ikano Bank AB privatlån ränta
• Ikano Bank AB konsumentlån villkor
• Ikano Bank privatlån</t>
  </si>
  <si>
    <t>Individual interest rates are set based on creditworthiness. Applicants must have a fixed annual income of at least 180,000 SEK, be registered in Sweden, and have no payment remarks (betalningsanmärkn</t>
  </si>
  <si>
    <t>Ivetofta Sparbank i Bromölla</t>
  </si>
  <si>
    <t>https://www.ivetoftasparbank.se/privat/lana/lana-pengar/</t>
  </si>
  <si>
    <t>20,000 SEK</t>
  </si>
  <si>
    <t>18 years</t>
  </si>
  <si>
    <t>5 years (in example)</t>
  </si>
  <si>
    <t>• Ivetofta Sparbank i Bromölla privatlån
• Ivetofta Sparbank i Bromölla konsumentlån
• Ivetofta Sparbank i Bromölla räntor privatlån</t>
  </si>
  <si>
    <t>ivetoftasparbank.se</t>
  </si>
  <si>
    <t>ivetoftasparbank.se
ivetoftasparbank.se
ivetoftasparbank.se</t>
  </si>
  <si>
    <t xml:space="preserve">The interest rate is variable and set individually based on your financial circumstances. A setup fee of 300 SEK applies, while the notification fee is 0 SEK. To be eligible, you must be 18 years old </t>
  </si>
  <si>
    <t>Laholms Sparbank</t>
  </si>
  <si>
    <t>https://www.laholmssparbank.se/privatlan</t>
  </si>
  <si>
    <t>6.37%</t>
  </si>
  <si>
    <t>16.51%</t>
  </si>
  <si>
    <t>• Laholms Sparbank privatlån
• Laholms Sparbank ränta privatlån
• Laholms Sparbank lånevillkor
• Laholms Sparbank konsumentlån</t>
  </si>
  <si>
    <t>laholmssparbank.se</t>
  </si>
  <si>
    <t>laholmssparbank.se
laholmssparbank.se
laholmssparbank.se
laholmssparbank.se</t>
  </si>
  <si>
    <t>The stated nominal interest rate range for Privatlån is 5.95% - 16.09% (as of 2025-10-03). The effective annual percentage rate (APR) range provided (6.37% - 16.51%) is an estimation. Laholms Sparbank</t>
  </si>
  <si>
    <t>Länsförsäkringar Bank Aktiebolag</t>
  </si>
  <si>
    <t>https://www.lansforsakringar.se/bank/lana-pengar/privatlan/</t>
  </si>
  <si>
    <t>6.83%</t>
  </si>
  <si>
    <t>18.90%</t>
  </si>
  <si>
    <t>30000</t>
  </si>
  <si>
    <t>10 år</t>
  </si>
  <si>
    <t>• Länsförsäkringar Bank privatlån
• Länsförsäkringar Bank lånevillkor privatlån
• Länsförsäkringar Bank räntor privatlån
• Länsförsäkringar Bank privatlån åldersgräns
• Länsförsäkringar Bank privatlån återbetalningstid</t>
  </si>
  <si>
    <t>lansforsakringar.se
lffinans.se
konsumentguiden.se
xn--svenskaprivatln-ulb.se
prisfakta.se
finansvalp.se
kreditkoll.nu</t>
  </si>
  <si>
    <t>lansforsakringar.se
lffinans.se
konsumentguiden.se
xn--svenskaprivatln-ulb.se
prisfakta.se
finansvalp.se
lansforsakringar.se
kreditkoll.nu</t>
  </si>
  <si>
    <t>To apply for a personal loan, you must have a valid Mobile BankID, no payment remarks, have been registered as a resident in Sweden for at least three years, and have a stable income from employment o</t>
  </si>
  <si>
    <t>Länsförsäkringar Finans AB</t>
  </si>
  <si>
    <t>https://www.lffinans.se/privatlan/</t>
  </si>
  <si>
    <t>400000 SEK</t>
  </si>
  <si>
    <t>30000 SEK</t>
  </si>
  <si>
    <t>• Länsförsäkringar Finans AB privatlån
• Länsförsäkringar privatlån ränta villkor
• Länsförsäkringar lån
• Länsförsäkringar Finans AB konsumentkredit
• LF Finans privatlån
• Länsförsäkringar Finans AB privatlån ränta
• Länsförsäkringar Finans AB villkor privatlån</t>
  </si>
  <si>
    <t>lffinans.se
mystep.se
kreditkoll.nu
finansvalp.se
advisa.se
lendo.se
lansforsakringar.se</t>
  </si>
  <si>
    <t>Applicants must have a valid Mobile BankID, no payment remarks, have been registered in Sweden for at least 3 years, and have a stable income from employment or pension. A setup fee of 375 SEK applies</t>
  </si>
  <si>
    <t>Lekebergs Sparbank</t>
  </si>
  <si>
    <t>https://www.lekebergssparbank.se/privat/lana/privatlan.html</t>
  </si>
  <si>
    <t>None</t>
  </si>
  <si>
    <t>• Lekebergs Sparbank privatlån
• Lekebergs Sparbank konsumtionslån
• Lekebergs Sparbank lånevillkor</t>
  </si>
  <si>
    <t>You must be 18 years old and have a regular income that is not from benefits, student aid, or similar. You must have sufficient financial capacity to cover the loan costs. You must not have any paymen</t>
  </si>
  <si>
    <t>Lönneberga-Tuna-Vena Sparbank</t>
  </si>
  <si>
    <t>https://www.ltvsparbank.se/privatlan</t>
  </si>
  <si>
    <t>6.15%</t>
  </si>
  <si>
    <t>14.85%</t>
  </si>
  <si>
    <t>10 years</t>
  </si>
  <si>
    <t>• Lönneberga-Tuna-Vena Sparbank official website
• Lönneberga-Tuna-Vena Sparbank privatlån
• Lönneberga-Tuna-Vena Sparbank konsumentkredit</t>
  </si>
  <si>
    <t>ltvsparbank.se</t>
  </si>
  <si>
    <t>ltvsparbank.se
ltvsparbank.se
ltvsparbank.se
ltvsparbank.se</t>
  </si>
  <si>
    <t>The provided APR range refers to the variable nominal interest rate (aktuell ränta) as of 2025-10-15. The effective annual percentage rate (APR) will vary based on individual credit assessment, the sp</t>
  </si>
  <si>
    <t>Markaryds Sparbank</t>
  </si>
  <si>
    <t>https://www.markarydssparbank.se/privat/lana/privatlan/</t>
  </si>
  <si>
    <t>• Markaryds Sparbank privatlån villkor
• Markaryds Sparbank konsumentkredit ränta
• Markaryds Sparbank privatlån
• Markaryds Sparbank effective annual percentage rate consumer loan</t>
  </si>
  <si>
    <t>markarydssparbank.se</t>
  </si>
  <si>
    <t>markarydssparbank.se
markarydssparbank.se
markarydssparbank.se
markarydssparbank.se</t>
  </si>
  <si>
    <t xml:space="preserve">Räntan är rörlig och sätts individuellt baserat på ekonomiska förutsättningar. Effektiv ränta är 8.15% (8.01% för Nyckelkund) för ett exempel på 100 000 kr med 5 års återbetalningstid och en ränta på </t>
  </si>
  <si>
    <t>Moank AB</t>
  </si>
  <si>
    <t>https://www.moank.se/</t>
  </si>
  <si>
    <t>N/A</t>
  </si>
  <si>
    <t>• Moank AB
• Moank privatlån
• Moank ränta villkor
• Moank lånebelopp
• Moank åldersgräns
• moank.se
• Moank AB official website
• Moank privatlån terms
• Moank lending operations</t>
  </si>
  <si>
    <t>kreditkoll.nu
konsumentguiden.se
moank.se</t>
  </si>
  <si>
    <t>kreditkoll.nu
konsumentguiden.se
moank.se
moank.se
moank.se</t>
  </si>
  <si>
    <t>Moank AB has paused new consumer lending operations. Information from early 2026 indicates that Moank's existing loan portfolio has been acquired by Morrow Bank. Consequently, current consumer lending</t>
  </si>
  <si>
    <t>Morrow Bank AB</t>
  </si>
  <si>
    <t>https://morrowbank.se/lana-pengar/privatlan</t>
  </si>
  <si>
    <t>6.98%</t>
  </si>
  <si>
    <t>40.99%</t>
  </si>
  <si>
    <t>20 years</t>
  </si>
  <si>
    <t>• Morrow Bank AB Sweden consumer loan official product page
• Morrow Bank AB privatlån ränta
• Morrow Bank AB lånebelopp
• Morrow Bank AB lånevillkor
• Morrow Bank AB åldersgräns</t>
  </si>
  <si>
    <t>morrowbank.se
kreditkoll.nu
finansvalp.se
investing.com
sambla.se
trygga.com</t>
  </si>
  <si>
    <t>morrowbank.se
kreditkoll.nu
finansvalp.se
morrowbank.se
morrowbank.se
morrowbank.se
morrowbank.se
investing.com
morrowbank.se
sambla.se
trygga.com</t>
  </si>
  <si>
    <t>Interest rates are set individually. An administration fee of 35 SEK/month applies. An origination fee (uppläggningsavgift) of 580 SEK is mentioned in loan examples, while another source states 495 SE</t>
  </si>
  <si>
    <t>Nordea Bank Abp, filial i Sverige</t>
  </si>
  <si>
    <t>https://www.nordea.se/privat/lan/privatlan.html</t>
  </si>
  <si>
    <t>5.24%</t>
  </si>
  <si>
    <t>13.97%</t>
  </si>
  <si>
    <t>• Nordea Sverige privatlån ränta
• Nordea Bank Abp, filial i Sverige konsumtionslån
• Nordea privatlån villkor ålder</t>
  </si>
  <si>
    <t>To apply for a Privatlån, applicants must have been a Nordea customer for 90 days, be at least 18 years old, and have good creditworthiness. The interest rate is set individually based on the applican</t>
  </si>
  <si>
    <t>Nordea Finans Sverige AB</t>
  </si>
  <si>
    <t>https://www.nordea.se/privat/produkter/lan-krediter/billan.html</t>
  </si>
  <si>
    <t>8 years</t>
  </si>
  <si>
    <t>• Nordea Finans Sverige AB konsumentlån
• Nordea Finans Sverige AB privatlån
• Nordea Finans Sverige AB lån villkor
• Nordea Finans Sverige AB ränta privatlån
• Nordea Finans Sverige AB leasing privatpersoner</t>
  </si>
  <si>
    <t>nordeafinance.se
xn--privatlnlistan-rib.se</t>
  </si>
  <si>
    <t>nordeafinance.se
nordeafinance.se
nordeafinance.se
xn--privatlnlistan-rib.se</t>
  </si>
  <si>
    <t>Nordea Finans Sverige AB primarily offers secured loans for consumers, such as Billån (car loan) and Fritidslån (leisure loan), where the financed vehicle acts as collateral.  Nominal interest rates f</t>
  </si>
  <si>
    <t>Northmill Bank AB</t>
  </si>
  <si>
    <t>https://www.northmill.com/se/privatlan/</t>
  </si>
  <si>
    <t>9.71%</t>
  </si>
  <si>
    <t>30.59%</t>
  </si>
  <si>
    <t>1000</t>
  </si>
  <si>
    <t>• Northmill Bank AB konsumentlån produktinformation
• Northmill Bank AB consumer loan product page
• Northmill Bank AB Ränta privatlån
• Northmill Bank AB lånevillkor</t>
  </si>
  <si>
    <t>sambla.se
northmill.com
xn--lnen-qoa.se
flexlimit.se
xn--svenskaprivatln-ulb.se
trygga.com</t>
  </si>
  <si>
    <t>sambla.se
northmill.com
xn--lnen-qoa.se
flexlimit.se
xn--svenskaprivatln-ulb.se
northmill.com
northmill.com
trygga.com</t>
  </si>
  <si>
    <t>Northmill Bank offers consumer loans in the form of Kontokredit (revolving credit) up to 50,000 SEK and Samlingslån (consolidation loan) up to 300,000 SEK. Interest rates are set individually based on</t>
  </si>
  <si>
    <t>Resurs Bank Aktiebolag</t>
  </si>
  <si>
    <t>https://www.resursbank.se/lana-pengar/privatlan</t>
  </si>
  <si>
    <t>7.63%</t>
  </si>
  <si>
    <t>32.54%</t>
  </si>
  <si>
    <t>• Resurs Bank Aktiebolag privatlån
• Resurs Bank lån
• Resurs Bank ränta privatlån
• Resurs Bank lånevillkor</t>
  </si>
  <si>
    <t>resursbank.se
lendo.se
resurs.com</t>
  </si>
  <si>
    <t>resursbank.se
resursbank.se
lendo.se
resurs.com</t>
  </si>
  <si>
    <t>Applicants must be at least 20 years old and have a fixed annual income of at least 240,000 SEK. No payment remarks (betalningsanmärkning) are allowed, and applicants should not be long-term sick-list</t>
  </si>
  <si>
    <t>Roslagens Sparbank</t>
  </si>
  <si>
    <t>https://www.roslagenssparbank.se/privat/lana-pengar/privatlan.html</t>
  </si>
  <si>
    <t>6.34%</t>
  </si>
  <si>
    <t>15.84%</t>
  </si>
  <si>
    <t>• Roslagens Sparbank privatlån
• Roslagens Sparbank konsumtionslån villkor
• Roslagens Sparbank consumer loan terms</t>
  </si>
  <si>
    <t>Räntan är rörlig (The interest rate is variable). Uppläggningsavgift: 300 kr (Setup fee: 300 SEK). Aviseringsavgift: 0 kr (Notification fee: 0 SEK). Du behöver vara kund för att få låna (You need to b</t>
  </si>
  <si>
    <t>Sala Sparbank</t>
  </si>
  <si>
    <t>https://www.salasparbank.se/privat/lana/lana-pengar-ansok-om-lan-till-allt.html</t>
  </si>
  <si>
    <t>• Sala Sparbank privatlån
• Sala Sparbank konsumtionslån villkor
• Sala Sparbank räntor privatlån
• Sala Sparbank lån</t>
  </si>
  <si>
    <t>salasparbank.se</t>
  </si>
  <si>
    <t>salasparbank.se
salasparbank.se
salasparbank.se
salasparbank.se</t>
  </si>
  <si>
    <t>The interest rate is variable and set individually based on the borrower's financial situation. The latest interest rate change was on 2025-10-03. An setup fee ('uppläggningsavgift') of 300 SEK applie</t>
  </si>
  <si>
    <t>Santander Consumer Bank AS Norge, Sverige Filial</t>
  </si>
  <si>
    <t>https://www.santanderconsumer.se/lana-pengar/privatlan/</t>
  </si>
  <si>
    <t>6.63%</t>
  </si>
  <si>
    <t>16.02%</t>
  </si>
  <si>
    <t>12</t>
  </si>
  <si>
    <t>• Santander Consumer Bank Sverige privatlån
• Santander Consumer Bank Sverige konsumtionslån
• Santander Consumer Bank Sverige lån villkor</t>
  </si>
  <si>
    <t>No setup fee. No administration fee with Autogiro (19 SEK with paper invoice). Individual interest rate based on credit assessment. Borrower must have a fixed annual income of at least 240,000 SEK dec</t>
  </si>
  <si>
    <t>SBAB Bank AB</t>
  </si>
  <si>
    <t>https://www.sbab.se/privat/lana/privatlan.html</t>
  </si>
  <si>
    <t>4.59%</t>
  </si>
  <si>
    <t>9.33%</t>
  </si>
  <si>
    <t>• SBAB privatlån
• SBAB privatlån ränta villkor
• SBAB Bank AB privatlån lånebelopp
• SBAB Bank AB privatlån åldersgräns
• SBAB Bank AB privatlån återbetalningstid
• SBAB privatlån villkor</t>
  </si>
  <si>
    <t>SBAB's consumer loan (privatlån) is an unsecured loan. There is no setup fee. A paper invoice fee of 25 SEK per month applies if not using autogiro or e-invoice. To apply, you must be over 18 years ol</t>
  </si>
  <si>
    <t>Sidensjö Sparbank</t>
  </si>
  <si>
    <t>https://www.sidensjosparbank.se/privat/lana/lana-pengar/</t>
  </si>
  <si>
    <t>• Sidensjö Sparbank privatlån
• Sidensjö Sparbank konsumtionslån
• Sidensjö Sparbank lån villkor
• Sidensjö Sparbank räntor privatlån
• Sidensjö Sparbank produktöversikt</t>
  </si>
  <si>
    <t>sidensjosparbank.se</t>
  </si>
  <si>
    <t>sidensjosparbank.se
sidensjosparbank.se
sidensjosparbank.se
sidensjosparbank.se</t>
  </si>
  <si>
    <t>The interest rate is variable and set individually based on the borrower's economic circumstances. An origination fee of 300 SEK applies (0 SEK for 'Nyckelkund'). Borrowers must be customers of the ba</t>
  </si>
  <si>
    <t>Skandinaviska Enskilda Banken AB</t>
  </si>
  <si>
    <t>https://seb.se/privat/lana/privatlan-och-krediter/privatlan-och-blancolan</t>
  </si>
  <si>
    <t>7.09%</t>
  </si>
  <si>
    <t>15.96%</t>
  </si>
  <si>
    <t>• SEB privatlån
• Skandinaviska Enskilda Banken AB privatlån ränta
• SEB privatlån villkor</t>
  </si>
  <si>
    <t>seb.se
finansvalp.se
xn--svenskaprivatln-ulb.se</t>
  </si>
  <si>
    <t xml:space="preserve">Requires a fixed income of at least 29,200 SEK per month and no payment remarks. Must have been registered in Sweden for at least three years. Individual interest rate based on credit assessment. The </t>
  </si>
  <si>
    <t>Skurups Sparbank</t>
  </si>
  <si>
    <t>https://www.skurupssparbank.se/privat/lana/lan-till-allt/privatlan.html</t>
  </si>
  <si>
    <t>5.20%</t>
  </si>
  <si>
    <t>15.34%</t>
  </si>
  <si>
    <t>50000 SEK</t>
  </si>
  <si>
    <t>• Skurups Sparbank privatlån ränta villkor
• Skurups Sparbank lån privatpersoner
• Skurups Sparbank konsumentkredit</t>
  </si>
  <si>
    <t>skurupssparbank.se</t>
  </si>
  <si>
    <t>skurupssparbank.se
skurupssparbank.se
skurupssparbank.se</t>
  </si>
  <si>
    <t>To apply for a personal loan ('Privatlån'), you must be a customer of Skurups Sparbank. You need to be at least 18 years old, have a regular income (not benefits or student aid), and have sufficient f</t>
  </si>
  <si>
    <t>Sörmlands Sparbank AB</t>
  </si>
  <si>
    <t>https://www.sormlandssparbank.se/lana/lana-pengar/privatlan/</t>
  </si>
  <si>
    <t>• Sörmlands Sparbank AB official website
• Sörmlands Sparbank AB privatlån
• Sörmlands Sparbank AB konsumtionslån ränta
• Sörmlands Sparbank AB lånevillkor
• Sörmlands Sparbank AB lånebelopp
• Sörmlands Sparbank AB ålderskrav
• Sörmlands Sparbank AB återbetalningstid</t>
  </si>
  <si>
    <t>sormlandssparbank.se</t>
  </si>
  <si>
    <t>sormlandssparbank.se
sormlandssparbank.se
sormlandssparbank.se
sormlandssparbank.se
sormlandssparbank.se
sormlandssparbank.se</t>
  </si>
  <si>
    <t>The stated APR range refers to the nominal variable interest rate range. The effective annual percentage rate (APR) is set individually based on the borrower's economic circumstances and typically inc</t>
  </si>
  <si>
    <t>Sparbanken Bergslagen AB</t>
  </si>
  <si>
    <t>https://www.sparbankenbergslagen.se/lana-pengar/privatlan/</t>
  </si>
  <si>
    <t>5 years</t>
  </si>
  <si>
    <t>• Sparbanken Bergslagen AB privatlån ränta
• Sparbanken Bergslagen AB privatlån villkor
• Sparbanken Bergslagen AB konsumtionslån ränta
• Sparbanken Bergslagen AB konsumtionslån villkor</t>
  </si>
  <si>
    <t>sparbankenbergslagen.se</t>
  </si>
  <si>
    <t>sparbankenbergslagen.se
sparbankenbergslagen.se
sparbankenbergslagen.se
sparbankenbergslagen.se</t>
  </si>
  <si>
    <t>The interest rate is variable and set individually based on the borrower's economic circumstances. Borrowers must have a regular income not derived from benefits or student aid, and no payment remarks</t>
  </si>
  <si>
    <t>Sparbanken Gotland</t>
  </si>
  <si>
    <t>https://vertexaisearch.cloud.google.com/grounding-api-redirect/AUZIYQEzXc4NS78W41X6FHF38VOR7daLmQQt4vS_xHv-EWTgZwrFdZeGj1AxQeEsnKeklroLAxoFECZynTYnGeFZXzZx6iIcv5GjWZsXB_-yCXixrwHYHYp8P_wnv2p-4Ahs6tZ3osSjI0d5LmJIlCtM1J51kI5yXAWgwPgEMUheTWfP_0Kl0mldL4BQEmp8Ya1UnXqiZZ5c</t>
  </si>
  <si>
    <t>6.40%</t>
  </si>
  <si>
    <t>16.95%</t>
  </si>
  <si>
    <t>• Sparbanken Gotland privatlån villkor
• Sparbanken Gotland konsumentlån ränta
• Sparbanken Gotland personlån ålder</t>
  </si>
  <si>
    <t>sparbankengotland.se</t>
  </si>
  <si>
    <t>The interest rate is variable and set individually based on your economic circumstances. A regular income (not benefits, student aid, or similar) is required, and you must have sufficient financial ca</t>
  </si>
  <si>
    <t>Sparbanken Mälardalen AB</t>
  </si>
  <si>
    <t>https://www.sparbankenmalardalen.se/privat/lana/lan-till-allt/privatlan/</t>
  </si>
  <si>
    <t>Not explicitly stated</t>
  </si>
  <si>
    <t>• Sparbanken Mälardalen AB privatlån
• Sparbanken Mälardalen AB konsumtionslån ränta
• Sparbanken Mälardalen AB lånevillkor</t>
  </si>
  <si>
    <t>sparbankenmalardalen.se
sparbankenvm.se</t>
  </si>
  <si>
    <t>sparbankenmalardalen.se
sparbankenmalardalen.se
sparbankenvm.se</t>
  </si>
  <si>
    <t>The provided APR range is the nominal interest rate range (räntespann). The effective annual percentage rate will be higher due to fees; for example, a loan of 100,000 SEK with a 7.73% nominal interes</t>
  </si>
  <si>
    <t>Sparbanken Nord</t>
  </si>
  <si>
    <t>https://www.sparbankennord.se/lana-pengar/privatlan/</t>
  </si>
  <si>
    <t>• Sparbanken Nord privatlån
• Sparbanken Nord konsumentkredit
• Sparbanken Nord ränta privatlån
• Sparbanken Nord lånevillkor</t>
  </si>
  <si>
    <t>sparbankennord.se</t>
  </si>
  <si>
    <t>sparbankennord.se
sparbankennord.se
sparbankennord.se
sparbankennord.se</t>
  </si>
  <si>
    <t xml:space="preserve">The nominal interest rate for a personal loan (privatlån) from Sparbanken Nord is a variable rate between 5.45% and 10.30% (last changed 2025-10-17). The effective annual percentage rate (APR) is not </t>
  </si>
  <si>
    <t>Sparbanken Sjuhärad AB</t>
  </si>
  <si>
    <t>https://www.sparbankensjuharad.se/lana/lana-pengar/privatlan/</t>
  </si>
  <si>
    <t>6.90%</t>
  </si>
  <si>
    <t>15.90%</t>
  </si>
  <si>
    <t>• Sparbanken Sjuhärad AB privatlån ränta
• Sparbanken Sjuhärad AB konsumentkredit villkor
• Sparbanken Sjuhärad AB lån</t>
  </si>
  <si>
    <t>sparbankensjuharad.se</t>
  </si>
  <si>
    <t>sparbankensjuharad.se
sparbankensjuharad.se
sparbankensjuharad.se
sparbankensjuharad.se
sparbankensjuharad.se
sparbankensjuharad.se</t>
  </si>
  <si>
    <t>The interest rate is variable and set individually based on your financial circumstances. No collateral is required for this loan. To be eligible, you must be 18 years old and have a regular income (n</t>
  </si>
  <si>
    <t>Sparbanken Skåne AB</t>
  </si>
  <si>
    <t>https://www.sparbankenskane.se/lana/lana-pengar-privatlan/privatlan/</t>
  </si>
  <si>
    <t>17.15%</t>
  </si>
  <si>
    <t>unknown</t>
  </si>
  <si>
    <t>• Sparbanken Skåne AB privatlån ränta
• Sparbanken Skåne AB konsumtionslån villkor
• Sparbanken Skåne AB official consumer loan page</t>
  </si>
  <si>
    <t>sparbankenskane.se</t>
  </si>
  <si>
    <t>sparbankenskane.se
sparbankenskane.se
sparbankenskane.se</t>
  </si>
  <si>
    <t xml:space="preserve">The interest rate is variable and set individually based on the borrower's financial situation. The effective annual percentage rate may be slightly higher than the nominal interest rate due to fees, </t>
  </si>
  <si>
    <t>Sparbanken Skaraborg AB</t>
  </si>
  <si>
    <t>https://www.sparbankenskaraborg.se/privat/lana/privatlan/</t>
  </si>
  <si>
    <t>Not explicitly stated on product pages.</t>
  </si>
  <si>
    <t>• Sparbanken Skaraborg AB privatlån
• Sparbanken Skaraborg AB consumer loan terms
• Sparbanken Skaraborg AB lånevillkor
• Sparbanken Skaraborg AB effektiva ränta</t>
  </si>
  <si>
    <t>sparbankenskaraborg.se</t>
  </si>
  <si>
    <t>sparbankenskaraborg.se
sparbankenskaraborg.se
sparbankenskaraborg.se</t>
  </si>
  <si>
    <t>Interest rate is variable and set individually based on financial conditions. Borrower must have a stable income (not including benefits or study support) and no registered payment remarks. A credit c</t>
  </si>
  <si>
    <t>Sparbanken Spira AB</t>
  </si>
  <si>
    <t>https://www.sparbankenspira.se/privat/lana-pengar/privatlan/</t>
  </si>
  <si>
    <t>• Sparbanken Spira AB privatlån
• Sparbanken Spira AB konsumtionslån
• Sparbanken Spira AB lån
• Sparbanken Spira AB räntor privatlån</t>
  </si>
  <si>
    <t>Räntan är rörlig och sätts individuellt efter dina ekonomiska förutsättningar. Uppläggningsavgift 300 SEK (0 SEK för Nyckelkund). Aviseringsavgift 0 SEK. Digital ansökan är möjlig för upp till 350 000</t>
  </si>
  <si>
    <t>Sparbanken Syd</t>
  </si>
  <si>
    <t>https://www.sparbankensyd.se/lana/privatlan/</t>
  </si>
  <si>
    <t>5.39%</t>
  </si>
  <si>
    <t>9.39%</t>
  </si>
  <si>
    <t>• Sparbanken Syd privatlån
• Sparbanken Syd private loan terms
• Sparbanken Syd ränta privatlån
• Sparbanken Syd lånevillkor privatlån</t>
  </si>
  <si>
    <t>sparbankensyd.se
mystep.se
xn--lnea-qoa.se</t>
  </si>
  <si>
    <t>sparbankensyd.se
sparbankensyd.se
mystep.se
xn--lnea-qoa.se
sparbankensyd.se</t>
  </si>
  <si>
    <t>No collateral required. Borrower must be a customer of Sparbanken Syd. No payment remarks (betalningsanmärkningar) allowed. Minimum annual income of 180,000 SEK. Individual interest rate setting. Setu</t>
  </si>
  <si>
    <t>Sparbanken Tanum</t>
  </si>
  <si>
    <t>https://www.sparbankentanum.se/lana-pengar/privatlan/lana-100000.html</t>
  </si>
  <si>
    <t>• Sparbanken Tanum privatlån
• Sparbanken Tanum konsumentkredit</t>
  </si>
  <si>
    <t>sparbankentanum.se</t>
  </si>
  <si>
    <t>sparbankentanum.se
sparbankentanum.se
sparbankentanum.se</t>
  </si>
  <si>
    <t>The stated range (6.20% - 16.34%) refers to the nominal interest rate, last updated 2025-10-10. The effective annual percentage rate (APR) will be higher due to fees. For example, a 100,000 SEK loan w</t>
  </si>
  <si>
    <t>Svea Bank AB</t>
  </si>
  <si>
    <t>https://www.svea.com/se/sv/privat/lana/privatlan/</t>
  </si>
  <si>
    <t>8.87%</t>
  </si>
  <si>
    <t>29.99%</t>
  </si>
  <si>
    <t>• Svea Bank AB konsumentlån
• Svea Bank privatlån ränta villkor
• Svea Bank lånevillkor privatpersoner
• Svea Bank blancolån
• Svea Bank lånebelopp ålder löptid</t>
  </si>
  <si>
    <t xml:space="preserve">Interest rates are individual. Svea Bank offers three types of consumer loans: Svealånet, Samla dina lån (debt consolidation), and Svårt att få lån (for those with payment remarks). The 'Svårt att få </t>
  </si>
  <si>
    <t>Svenska Handelsbanken AB</t>
  </si>
  <si>
    <t>https://www.handelsbanken.se/sv/privat/lana/privatlan</t>
  </si>
  <si>
    <t>6.28%</t>
  </si>
  <si>
    <t>10.32%</t>
  </si>
  <si>
    <t>• Handelsbanken privatlån
• Handelsbanken lån privatkunder ränta
• Handelsbanken lånevillkor
• Handelsbanken privatlån åldersgräns</t>
  </si>
  <si>
    <t>handelsbanken.se
finansvalp.se
mystep.se
konsumentguiden.se
xn--lnen-qoa.se
xn--svenskaprivatln-ulb.se</t>
  </si>
  <si>
    <t>handelsbanken.se
finansvalp.se
mystep.se
handelsbanken.se
konsumentguiden.se
xn--lnen-qoa.se
xn--svenskaprivatln-ulb.se
finansvalp.se</t>
  </si>
  <si>
    <t>Svenska Handelsbanken AB offers two main types of consumer loans: 'Privatlån Direkt' and 'Privatlån'. 'Privatlån Direkt' is an unsecured loan with a current effective annual percentage rate (APR) of 8</t>
  </si>
  <si>
    <t>Swedbank AB</t>
  </si>
  <si>
    <t>https://www.swedbank.se/privat/lana/vara-lan/privatlan.html</t>
  </si>
  <si>
    <t>6.25%</t>
  </si>
  <si>
    <t>17.49%</t>
  </si>
  <si>
    <t>• Swedbank AB consumer loan product page official
• Swedbank AB privatlån ränta
• Swedbank AB privatlån villkor
• Swedbank AB consumer loan terms and conditions</t>
  </si>
  <si>
    <t>No payment remarks allowed. Must be a Swedbank customer to apply. Origination fee of 300 SEK (0 SEK for 'Nyckelkund' customers). The interest rate is variable and set individually based on creditworth</t>
  </si>
  <si>
    <t>TF Bank AB</t>
  </si>
  <si>
    <t>https://www.tfbank.se/lan</t>
  </si>
  <si>
    <t>7.51%</t>
  </si>
  <si>
    <t>28.58%</t>
  </si>
  <si>
    <t>200000 SEK</t>
  </si>
  <si>
    <t>22</t>
  </si>
  <si>
    <t>• TF Bank AB privatlån
• TF Bank AB konsumentkredit villkor
• TF Bank AB lån</t>
  </si>
  <si>
    <t>tfbank.se
lendo.se
enklare.se
mystep.se</t>
  </si>
  <si>
    <t>tfbank.se
tfbank.se
lendo.se
enklare.se
mystep.se</t>
  </si>
  <si>
    <t xml:space="preserve">The nominal interest rate (ränta) offered by TF Bank is between 9.90% and 16.40%. A representative example shows an effective annual interest rate of 15.75% for a loan of 60,000 SEK over 5 years with </t>
  </si>
  <si>
    <t>TF Bank Nordic AB</t>
  </si>
  <si>
    <t>200000</t>
  </si>
  <si>
    <t>2500</t>
  </si>
  <si>
    <t>10</t>
  </si>
  <si>
    <t>• TF Bank Nordic AB privatlån
• TF Bank privatlån villkor
• TF Bank privatlån ränta
• TF Bank lån ansökan</t>
  </si>
  <si>
    <t>Loans are unsecured (utan säkerhet). The interest rate is individual and determined during the credit assessment. Applications are primarily made through partners such as Lendo and Sambla. Borrowers m</t>
  </si>
  <si>
    <t>Ulricehamns Sparbank</t>
  </si>
  <si>
    <t>https://www.ulricehamnssparbank.se/sv/privat/lana/lana-pengar-till-allt/</t>
  </si>
  <si>
    <t>• Ulricehamns Sparbank privatlån
• Ulricehamns Sparbank officiella hemsida
• Ulricehamns Sparbank konsumentkredit villkor
• Ulricehamns Sparbank effective annual percentage rate consumer loan</t>
  </si>
  <si>
    <t>Räntan är rörlig och sätts individuellt efter dina ekonomiska förutsättningar. Du måste vara kund hos Ulricehamns Sparbank. Du ska ha en regelbunden inkomst som inte är bidrag, studiemedel eller likna</t>
  </si>
  <si>
    <t>Vadstena Sparbank</t>
  </si>
  <si>
    <t>https://www.vadstenasparbank.se/privat/lana/lana-pengar-ansok-om-lan-till-allt.html</t>
  </si>
  <si>
    <t>• Vadstena Sparbank privatlån
• Vadstena Sparbank konsumentkredit
• Vadstena Sparbank räntor privatlån
• Vadstena Sparbank lånevillkor</t>
  </si>
  <si>
    <t>vadstenasparbank.se</t>
  </si>
  <si>
    <t>vadstenasparbank.se
vadstenasparbank.se
vadstenasparbank.se
vadstenasparbank.se
vadstenasparbank.se</t>
  </si>
  <si>
    <t>The interest rate is variable and set individually based on the borrower's financial conditions. The stated APR range refers to the nominal interest rate. Example effective annual percentage rates (AP</t>
  </si>
  <si>
    <t>Vimmerby Sparbank AB</t>
  </si>
  <si>
    <t>https://www.vimmerbysparbank.se/privat/lana/lana-pengar.html</t>
  </si>
  <si>
    <t>• Vimmerby Sparbank AB privatlån
• Vimmerby Sparbank AB konsumentkredit villkor
• Vimmerby Sparbank räntor privatlån
• Vimmerby Sparbank lånevillkor
• Vimmerby Sparbank privatlån maxbelopp
• Vimmerby Sparbank privatlån lägsta belopp
• Vimmerby Sparbank privatlån maximal återbetalningstid
• Vimmerby Sparbank personal loan maximum amount
• Vimmerby Sparbank personal loan minimum amount
• Vimmerby Sparbank personal loan maximum repayment period</t>
  </si>
  <si>
    <t>vimmerbysparbank.se</t>
  </si>
  <si>
    <t>vimmerbysparbank.se
vimmerbysparbank.se</t>
  </si>
  <si>
    <t xml:space="preserve">The interest rate is variable. An setup fee of 300 SEK applies, but is 0 SEK for 'Nyckelkund' (key customer). Notification fee is 0 SEK for e-invoices. Applicants must be 18 years old, have a regular </t>
  </si>
  <si>
    <t>Virserums Sparbank</t>
  </si>
  <si>
    <t>https://www.virserumssparbank.se/privat/lana-pengar/privatlan.html</t>
  </si>
  <si>
    <t>6.18%</t>
  </si>
  <si>
    <t>14.70%</t>
  </si>
  <si>
    <t>• Virserums Sparbank official website
• Virserums Sparbank privatlån
• Virserums Sparbank konsumtionslån ränta
• Virserums Sparbank lån villkor</t>
  </si>
  <si>
    <t>virserumssparbank.se</t>
  </si>
  <si>
    <t>virserumssparbank.se
virserumssparbank.se
virserumssparbank.se</t>
  </si>
  <si>
    <t>The interest rate is variable and set individually based on the borrower's economic circumstances. An origination fee (uppläggningsavgift) of 550 SEK applies. There is no e-invoice fee (aviseringsavgi</t>
  </si>
  <si>
    <t>Westra Wermlands Sparbank</t>
  </si>
  <si>
    <t>https://vertexaisearch.cloud.google.com/grounding-api-redirect/AUZIYQHhRxTmhO1h1uMl7MnBEtsFjbFhxxUBQuQ1ISRrEfiAZXCpipYimuCRzAKT9Nyg7QaL-PXo6r7V5sdxPMuVzSoIx9dzz0L6kkAwQ4watMiw_EGvvurUFX02mglCLrnuEnEoXq4zaIdap5iBrzZO76VBrZ-dqBGGfZZsKQHJ1wRW_D8N7l3eq2lvSnxDhwY=</t>
  </si>
  <si>
    <t>More than 10 years</t>
  </si>
  <si>
    <t>• Westra Wermlands Sparbank privatlån ränta
• Westra Wermlands Sparbank konsumentkredit villkor</t>
  </si>
  <si>
    <t>wwsparbank.se</t>
  </si>
  <si>
    <t>wwsparbank.se
wwsparbank.se
wwsparbank.se
wwsparbank.se</t>
  </si>
  <si>
    <t>The nominal interest rate is variable and ranges from 5.45% to 15.59% (last updated 2025-10-10). The effective annual percentage rate (APR) is not provided as a range but examples show 8.15% (for a 10</t>
  </si>
  <si>
    <t>Domain</t>
  </si>
  <si>
    <t>Times CITED
(shaped answers)</t>
  </si>
  <si>
    <t>kreditkoll.nu</t>
  </si>
  <si>
    <t>mystep.se</t>
  </si>
  <si>
    <t>finansvalp.se</t>
  </si>
  <si>
    <t>xn--svenskaprivatln-ulb.se</t>
  </si>
  <si>
    <t>lendo.se</t>
  </si>
  <si>
    <t>trygga.com</t>
  </si>
  <si>
    <t>konsumentguiden.se</t>
  </si>
  <si>
    <t>xn--lnen-qoa.se</t>
  </si>
  <si>
    <t>sambla.se</t>
  </si>
  <si>
    <t>lansforsakringar.se</t>
  </si>
  <si>
    <t>lffinans.se</t>
  </si>
  <si>
    <t>enklare.se</t>
  </si>
  <si>
    <t>kreditium.se</t>
  </si>
  <si>
    <t>xn--lnea-qoa.se</t>
  </si>
  <si>
    <t>advisa.se</t>
  </si>
  <si>
    <t>morrowbank.se</t>
  </si>
  <si>
    <t>investing.com</t>
  </si>
  <si>
    <t>prisfakta.se</t>
  </si>
  <si>
    <t>resursbank.se</t>
  </si>
  <si>
    <t>resurs.com</t>
  </si>
  <si>
    <t>northmill.com</t>
  </si>
  <si>
    <t>flexlimit.se</t>
  </si>
  <si>
    <t>seb.se</t>
  </si>
  <si>
    <t>sparbankenmalardalen.se</t>
  </si>
  <si>
    <t>sparbankenvm.se</t>
  </si>
  <si>
    <t>handelsbanken.se</t>
  </si>
  <si>
    <t>tfbank.se</t>
  </si>
  <si>
    <t>credento.se</t>
  </si>
  <si>
    <t>zmarta.se</t>
  </si>
  <si>
    <t>brixo.se</t>
  </si>
  <si>
    <t>bank.se</t>
  </si>
  <si>
    <t>brocc.se</t>
  </si>
  <si>
    <t>ordnabolan.se</t>
  </si>
  <si>
    <t>google.com</t>
  </si>
  <si>
    <t>axofinans.se</t>
  </si>
  <si>
    <t>balanzia.se</t>
  </si>
  <si>
    <t>thebanks.eu</t>
  </si>
  <si>
    <t>gccab.com</t>
  </si>
  <si>
    <t>moank.se</t>
  </si>
  <si>
    <t>nordeafinance.se</t>
  </si>
  <si>
    <t>xn--privatlnlistan-rib.se</t>
  </si>
  <si>
    <t>sparbankensyd.se</t>
  </si>
  <si>
    <t>facitbank.se</t>
  </si>
  <si>
    <t>Gemini 2.5 Flash + google_search — Summary</t>
  </si>
  <si>
    <t>Count</t>
  </si>
  <si>
    <t>Metric</t>
  </si>
  <si>
    <t>Value</t>
  </si>
  <si>
    <t>Total lenders</t>
  </si>
  <si>
    <t>Web searches triggered</t>
  </si>
  <si>
    <t>Total web searches run</t>
  </si>
  <si>
    <t>Total cited URLs/domains</t>
  </si>
  <si>
    <t>Banks with any citation</t>
  </si>
  <si>
    <t>Avg searches per lender</t>
  </si>
  <si>
    <t>Banks with empty Min APR</t>
  </si>
  <si>
    <t>Methodology</t>
  </si>
  <si>
    <t>Model</t>
  </si>
  <si>
    <t>gemini-2.5-flash (Google Gemini API)</t>
  </si>
  <si>
    <t>Endpoint</t>
  </si>
  <si>
    <t>https://generativelanguage.googleapis.com/v1beta/models/gemini-2.5-flash:generateContent</t>
  </si>
  <si>
    <t>Web search tool</t>
  </si>
  <si>
    <t>tools: [{google_search: {}}] — Gemini's built-in Google Search grounding.</t>
  </si>
  <si>
    <t>Date run</t>
  </si>
  <si>
    <t>April 2026</t>
  </si>
  <si>
    <t>Citation behavior</t>
  </si>
  <si>
    <t>Gemini returns groundingMetadata with webSearchQueries (UNIQUE — no other provider exposes these) and groundingChunks[].web with {uri, title}. URIs are opaque Vertex AI redirect tokens.</t>
  </si>
  <si>
    <t>Reliability</t>
  </si>
  <si>
    <t>Concurrency=3, 51/51 successful.</t>
  </si>
  <si>
    <t>Input data</t>
  </si>
  <si>
    <t>Dataset With Banks For AI Search - Sheet1.csv — 51 Swedish/Scandinavian credit institutions</t>
  </si>
  <si>
    <t>Purpose</t>
  </si>
  <si>
    <t>Mimics a real user asking 'What are the loan terms for [Bank]?' — the model decides whether to search and returns structured JSON.</t>
  </si>
  <si>
    <t>Caveat</t>
  </si>
  <si>
    <t>Rates and terms change. This data reflects live web results as of the run date.</t>
  </si>
  <si>
    <t>Gemini 2.5 Flash + google_search — run_2 — APR rate-type classification</t>
  </si>
  <si>
    <t>Labels: effective = 'effektiv ränta' (Swedish APR). nominal = 'nominell' / 'årsränta' / 'rörlig ränta' / 'fast ränta' / 'kreditränta'. representative_example = 'räkneexempel' / 'representativt exempel'. unlabeled = no anchor within 80 chars of the APR number in this provider's cached response.</t>
  </si>
  <si>
    <t>Classification reads only this provider's own cached response (apr_range → notes → citation snippets). Ground-truth data is NOT consulted.</t>
  </si>
  <si>
    <t>APR Raw (from model)</t>
  </si>
  <si>
    <t>Rate Type</t>
  </si>
  <si>
    <t>Anchor Evidence</t>
  </si>
  <si>
    <t>Source Field</t>
  </si>
  <si>
    <t>6.00% - 17.17%</t>
  </si>
  <si>
    <t>unlabeled</t>
  </si>
  <si>
    <t>no_anchor_near_apr</t>
  </si>
  <si>
    <t>5.95% - 16.09%</t>
  </si>
  <si>
    <t>6.22% - 18.87%</t>
  </si>
  <si>
    <t>6.98% - 40.99%</t>
  </si>
  <si>
    <t>6.83% - 18.90%</t>
  </si>
  <si>
    <t>7.63% - 32.54%</t>
  </si>
  <si>
    <t>4.59% - 9.33%</t>
  </si>
  <si>
    <t>9.71% - 30.59%</t>
  </si>
  <si>
    <t>7.09% - 15.96%</t>
  </si>
  <si>
    <t>6.90% - 15.90%</t>
  </si>
  <si>
    <t>5.95% - 17.15%</t>
  </si>
  <si>
    <t>6.25% - 17.49%</t>
  </si>
  <si>
    <t>8.87% - 29.99%</t>
  </si>
  <si>
    <t>6.28% - 10.32%</t>
  </si>
  <si>
    <t>7.51% - 28.58%</t>
  </si>
  <si>
    <t>11.15% - 29.5%</t>
  </si>
  <si>
    <t>14.82% - 29.27%</t>
  </si>
  <si>
    <t>22.8% (example)</t>
  </si>
  <si>
    <t>7.60% - 30.00%</t>
  </si>
  <si>
    <t>no_apr_in_response</t>
  </si>
  <si>
    <t>6.20% - 16.34%</t>
  </si>
  <si>
    <t>Not explicitly stated as an effective APR range on official product pages</t>
  </si>
  <si>
    <t>6.37% - 16.51%</t>
  </si>
  <si>
    <t>effective</t>
  </si>
  <si>
    <t>annual percentage rate</t>
  </si>
  <si>
    <t>notes</t>
  </si>
  <si>
    <t>6.34% - 15.84%</t>
  </si>
  <si>
    <t>6.15% - 14.85%</t>
  </si>
  <si>
    <t>5.20% - 15.34%</t>
  </si>
  <si>
    <t>6.40% - 16.95%</t>
  </si>
  <si>
    <t>5.39% - 9.39%</t>
  </si>
  <si>
    <t>6.18% - 14.70%</t>
  </si>
  <si>
    <t>9.82% - 18.91%</t>
  </si>
  <si>
    <t>5.24% - 13.97%</t>
  </si>
  <si>
    <t>6.63% - 16.02%</t>
  </si>
  <si>
    <t>Summary</t>
  </si>
  <si>
    <t>nominal</t>
  </si>
  <si>
    <t>representative_example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</si>
</sst>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sz val="9.0"/>
      <color theme="1"/>
      <name val="Arial"/>
    </font>
    <font>
      <b/>
      <sz val="9.0"/>
      <color theme="1"/>
      <name val="Arial"/>
    </font>
    <font>
      <b/>
      <sz val="13.0"/>
      <color rgb="FFFFFFFF"/>
      <name val="Arial"/>
    </font>
    <font/>
    <font>
      <b/>
      <sz val="13.0"/>
      <color theme="1"/>
      <name val="Calibri"/>
      <scheme val="minor"/>
    </font>
    <font>
      <sz val="11.0"/>
      <color theme="1"/>
      <name val="Calibri"/>
    </font>
    <font>
      <b/>
      <color rgb="FFFFFFFF"/>
      <name val="Calibri"/>
      <scheme val="minor"/>
    </font>
    <font>
      <b/>
      <color theme="1"/>
      <name val="Calibri"/>
      <scheme val="minor"/>
    </font>
    <font>
      <color theme="1"/>
      <name val="Calibri"/>
      <scheme val="minor"/>
    </font>
  </fonts>
  <fills count="11">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DAEEF3"/>
        <bgColor rgb="FFDAEEF3"/>
      </patternFill>
    </fill>
    <fill>
      <patternFill patternType="solid">
        <fgColor rgb="FFE2EFDA"/>
        <bgColor rgb="FFE2EFDA"/>
      </patternFill>
    </fill>
    <fill>
      <patternFill patternType="solid">
        <fgColor rgb="FFFFF2CC"/>
        <bgColor rgb="FFFFF2CC"/>
      </patternFill>
    </fill>
    <fill>
      <patternFill patternType="solid">
        <fgColor rgb="FFFFFDE7"/>
        <bgColor rgb="FFFFFDE7"/>
      </patternFill>
    </fill>
    <fill>
      <patternFill patternType="solid">
        <fgColor rgb="FF2E75B6"/>
        <bgColor rgb="FF2E75B6"/>
      </patternFill>
    </fill>
    <fill>
      <patternFill patternType="solid">
        <fgColor rgb="FFF2F2F2"/>
        <bgColor rgb="FFF2F2F2"/>
      </patternFill>
    </fill>
    <fill>
      <patternFill patternType="solid">
        <fgColor rgb="FF305496"/>
        <bgColor rgb="FF305496"/>
      </patternFill>
    </fill>
  </fills>
  <borders count="6">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vertical="top"/>
    </xf>
    <xf borderId="1" fillId="4" fontId="2" numFmtId="0" xfId="0" applyAlignment="1" applyBorder="1" applyFill="1" applyFont="1">
      <alignment vertical="top"/>
    </xf>
    <xf borderId="1" fillId="3" fontId="2" numFmtId="0" xfId="0" applyAlignment="1" applyBorder="1" applyFont="1">
      <alignment shrinkToFit="0" vertical="top" wrapText="1"/>
    </xf>
    <xf borderId="1" fillId="3" fontId="3" numFmtId="0" xfId="0" applyAlignment="1" applyBorder="1" applyFont="1">
      <alignment vertical="top"/>
    </xf>
    <xf borderId="1" fillId="5" fontId="3" numFmtId="0" xfId="0" applyAlignment="1" applyBorder="1" applyFill="1" applyFont="1">
      <alignment vertical="top"/>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3" numFmtId="0" xfId="0" applyAlignment="1" applyBorder="1" applyFont="1">
      <alignment vertical="top"/>
    </xf>
    <xf borderId="1" fillId="3" fontId="2" numFmtId="0" xfId="0" applyAlignment="1" applyBorder="1" applyFont="1">
      <alignment readingOrder="0" shrinkToFit="0" vertical="top" wrapText="1"/>
    </xf>
    <xf borderId="2" fillId="2" fontId="4" numFmtId="0" xfId="0" applyAlignment="1" applyBorder="1" applyFont="1">
      <alignment horizontal="center"/>
    </xf>
    <xf borderId="3" fillId="0" fontId="5" numFmtId="0" xfId="0" applyBorder="1" applyFont="1"/>
    <xf borderId="4" fillId="0" fontId="5" numFmtId="0" xfId="0" applyBorder="1" applyFont="1"/>
    <xf borderId="1" fillId="8" fontId="1" numFmtId="0" xfId="0" applyAlignment="1" applyBorder="1" applyFill="1" applyFont="1">
      <alignment horizontal="center" shrinkToFit="0" vertical="center" wrapText="1"/>
    </xf>
    <xf borderId="0" fillId="0" fontId="6" numFmtId="0" xfId="0" applyFont="1"/>
    <xf borderId="2" fillId="9" fontId="7" numFmtId="0" xfId="0" applyAlignment="1" applyBorder="1" applyFill="1" applyFont="1">
      <alignment shrinkToFit="0" vertical="top" wrapText="1"/>
    </xf>
    <xf borderId="5" fillId="10" fontId="8" numFmtId="0" xfId="0" applyAlignment="1" applyBorder="1" applyFill="1" applyFont="1">
      <alignment shrinkToFit="0" vertical="center" wrapText="1"/>
    </xf>
    <xf borderId="0" fillId="0" fontId="7" numFmtId="0" xfId="0" applyAlignment="1" applyFont="1">
      <alignment shrinkToFit="0" vertical="top" wrapText="1"/>
    </xf>
    <xf borderId="0" fillId="0" fontId="9"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0.0"/>
    <col customWidth="1" min="3" max="3" width="46.0"/>
    <col customWidth="1" min="4" max="5" width="11.0"/>
    <col customWidth="1" min="6" max="7" width="18.0"/>
    <col customWidth="1" min="8" max="8" width="11.0"/>
    <col customWidth="1" min="9" max="9" width="16.0"/>
    <col customWidth="1" min="10" max="10" width="13.0"/>
    <col customWidth="1" min="11" max="11" width="46.0"/>
    <col customWidth="1" min="12" max="12" width="58.0"/>
    <col customWidth="1" min="13" max="13" width="50.0"/>
    <col customWidth="1" min="14" max="14" width="42.0"/>
    <col customWidth="1" min="15" max="15" width="55.0"/>
    <col customWidth="1" min="16" max="16" width="42.0"/>
    <col customWidth="1" min="17" max="26" width="8.71"/>
  </cols>
  <sheetData>
    <row r="1" ht="4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4" t="s">
        <v>18</v>
      </c>
      <c r="D2" s="5" t="s">
        <v>19</v>
      </c>
      <c r="E2" s="5" t="s">
        <v>20</v>
      </c>
      <c r="F2" s="4" t="s">
        <v>21</v>
      </c>
      <c r="G2" s="4" t="s">
        <v>22</v>
      </c>
      <c r="H2" s="2" t="s">
        <v>23</v>
      </c>
      <c r="I2" s="4" t="s">
        <v>24</v>
      </c>
      <c r="J2" s="6">
        <v>4.0</v>
      </c>
      <c r="K2" s="7" t="s">
        <v>25</v>
      </c>
      <c r="L2" s="8"/>
      <c r="M2" s="8"/>
      <c r="N2" s="8" t="s">
        <v>26</v>
      </c>
      <c r="O2" s="4" t="s">
        <v>27</v>
      </c>
      <c r="P2" s="2" t="s">
        <v>28</v>
      </c>
    </row>
    <row r="3">
      <c r="A3" s="9" t="s">
        <v>29</v>
      </c>
      <c r="B3" s="3" t="s">
        <v>17</v>
      </c>
      <c r="C3" s="10" t="s">
        <v>30</v>
      </c>
      <c r="D3" s="11" t="s">
        <v>31</v>
      </c>
      <c r="E3" s="11" t="s">
        <v>32</v>
      </c>
      <c r="F3" s="10" t="s">
        <v>33</v>
      </c>
      <c r="G3" s="10" t="s">
        <v>34</v>
      </c>
      <c r="H3" s="9" t="s">
        <v>35</v>
      </c>
      <c r="I3" s="10" t="s">
        <v>36</v>
      </c>
      <c r="J3" s="6">
        <v>4.0</v>
      </c>
      <c r="K3" s="7" t="s">
        <v>37</v>
      </c>
      <c r="L3" s="8" t="s">
        <v>38</v>
      </c>
      <c r="M3" s="8" t="s">
        <v>39</v>
      </c>
      <c r="N3" s="8" t="s">
        <v>26</v>
      </c>
      <c r="O3" s="10" t="s">
        <v>40</v>
      </c>
      <c r="P3" s="9" t="s">
        <v>28</v>
      </c>
    </row>
    <row r="4">
      <c r="A4" s="2" t="s">
        <v>41</v>
      </c>
      <c r="B4" s="3" t="s">
        <v>17</v>
      </c>
      <c r="C4" s="4" t="s">
        <v>42</v>
      </c>
      <c r="D4" s="5" t="s">
        <v>43</v>
      </c>
      <c r="E4" s="5" t="s">
        <v>43</v>
      </c>
      <c r="F4" s="4" t="s">
        <v>44</v>
      </c>
      <c r="G4" s="4" t="s">
        <v>45</v>
      </c>
      <c r="H4" s="2" t="s">
        <v>46</v>
      </c>
      <c r="I4" s="12">
        <v>7.5</v>
      </c>
      <c r="J4" s="6">
        <v>3.0</v>
      </c>
      <c r="K4" s="7" t="s">
        <v>47</v>
      </c>
      <c r="L4" s="8" t="s">
        <v>48</v>
      </c>
      <c r="M4" s="8" t="s">
        <v>49</v>
      </c>
      <c r="N4" s="8" t="s">
        <v>26</v>
      </c>
      <c r="O4" s="4" t="s">
        <v>50</v>
      </c>
      <c r="P4" s="2" t="s">
        <v>28</v>
      </c>
    </row>
    <row r="5">
      <c r="A5" s="9" t="s">
        <v>51</v>
      </c>
      <c r="B5" s="3" t="s">
        <v>17</v>
      </c>
      <c r="C5" s="10" t="s">
        <v>52</v>
      </c>
      <c r="D5" s="11" t="s">
        <v>53</v>
      </c>
      <c r="E5" s="11" t="s">
        <v>54</v>
      </c>
      <c r="F5" s="10" t="s">
        <v>55</v>
      </c>
      <c r="G5" s="10" t="s">
        <v>45</v>
      </c>
      <c r="H5" s="9" t="s">
        <v>23</v>
      </c>
      <c r="I5" s="10" t="s">
        <v>56</v>
      </c>
      <c r="J5" s="6">
        <v>6.0</v>
      </c>
      <c r="K5" s="7" t="s">
        <v>57</v>
      </c>
      <c r="L5" s="8" t="s">
        <v>58</v>
      </c>
      <c r="M5" s="8" t="s">
        <v>59</v>
      </c>
      <c r="N5" s="8" t="s">
        <v>26</v>
      </c>
      <c r="O5" s="10" t="s">
        <v>60</v>
      </c>
      <c r="P5" s="9" t="s">
        <v>28</v>
      </c>
    </row>
    <row r="6">
      <c r="A6" s="9" t="s">
        <v>61</v>
      </c>
      <c r="B6" s="3" t="s">
        <v>17</v>
      </c>
      <c r="C6" s="10" t="s">
        <v>62</v>
      </c>
      <c r="D6" s="11" t="s">
        <v>63</v>
      </c>
      <c r="E6" s="11" t="s">
        <v>64</v>
      </c>
      <c r="F6" s="10" t="s">
        <v>65</v>
      </c>
      <c r="G6" s="10" t="s">
        <v>66</v>
      </c>
      <c r="H6" s="9" t="s">
        <v>67</v>
      </c>
      <c r="I6" s="10" t="s">
        <v>68</v>
      </c>
      <c r="J6" s="6">
        <v>4.0</v>
      </c>
      <c r="K6" s="7" t="s">
        <v>69</v>
      </c>
      <c r="L6" s="8" t="s">
        <v>70</v>
      </c>
      <c r="M6" s="8" t="s">
        <v>71</v>
      </c>
      <c r="N6" s="8" t="s">
        <v>26</v>
      </c>
      <c r="O6" s="10" t="s">
        <v>72</v>
      </c>
      <c r="P6" s="9" t="s">
        <v>28</v>
      </c>
    </row>
    <row r="7">
      <c r="A7" s="9" t="s">
        <v>73</v>
      </c>
      <c r="B7" s="3" t="s">
        <v>17</v>
      </c>
      <c r="C7" s="10" t="s">
        <v>74</v>
      </c>
      <c r="D7" s="11" t="s">
        <v>75</v>
      </c>
      <c r="E7" s="11" t="s">
        <v>76</v>
      </c>
      <c r="F7" s="10" t="s">
        <v>77</v>
      </c>
      <c r="G7" s="10" t="s">
        <v>45</v>
      </c>
      <c r="H7" s="9" t="s">
        <v>78</v>
      </c>
      <c r="I7" s="10" t="s">
        <v>79</v>
      </c>
      <c r="J7" s="6">
        <v>3.0</v>
      </c>
      <c r="K7" s="7" t="s">
        <v>80</v>
      </c>
      <c r="L7" s="8" t="s">
        <v>81</v>
      </c>
      <c r="M7" s="8" t="s">
        <v>82</v>
      </c>
      <c r="N7" s="8" t="s">
        <v>26</v>
      </c>
      <c r="O7" s="10" t="s">
        <v>83</v>
      </c>
      <c r="P7" s="9" t="s">
        <v>28</v>
      </c>
    </row>
    <row r="8">
      <c r="A8" s="9" t="s">
        <v>84</v>
      </c>
      <c r="B8" s="3" t="s">
        <v>17</v>
      </c>
      <c r="C8" s="10" t="s">
        <v>85</v>
      </c>
      <c r="D8" s="11" t="s">
        <v>31</v>
      </c>
      <c r="E8" s="11" t="s">
        <v>32</v>
      </c>
      <c r="F8" s="10" t="s">
        <v>86</v>
      </c>
      <c r="G8" s="10" t="s">
        <v>87</v>
      </c>
      <c r="H8" s="9" t="s">
        <v>35</v>
      </c>
      <c r="I8" s="10" t="s">
        <v>68</v>
      </c>
      <c r="J8" s="6">
        <v>7.0</v>
      </c>
      <c r="K8" s="7" t="s">
        <v>88</v>
      </c>
      <c r="L8" s="8" t="s">
        <v>89</v>
      </c>
      <c r="M8" s="8" t="s">
        <v>90</v>
      </c>
      <c r="N8" s="8" t="s">
        <v>26</v>
      </c>
      <c r="O8" s="10" t="s">
        <v>91</v>
      </c>
      <c r="P8" s="9" t="s">
        <v>28</v>
      </c>
    </row>
    <row r="9">
      <c r="A9" s="2" t="s">
        <v>92</v>
      </c>
      <c r="B9" s="3" t="s">
        <v>17</v>
      </c>
      <c r="C9" s="4" t="s">
        <v>93</v>
      </c>
      <c r="D9" s="5" t="s">
        <v>94</v>
      </c>
      <c r="E9" s="5" t="s">
        <v>95</v>
      </c>
      <c r="F9" s="4" t="s">
        <v>96</v>
      </c>
      <c r="G9" s="4" t="s">
        <v>97</v>
      </c>
      <c r="H9" s="2" t="s">
        <v>35</v>
      </c>
      <c r="I9" s="4" t="s">
        <v>68</v>
      </c>
      <c r="J9" s="6">
        <v>3.0</v>
      </c>
      <c r="K9" s="7" t="s">
        <v>98</v>
      </c>
      <c r="L9" s="8" t="s">
        <v>99</v>
      </c>
      <c r="M9" s="8" t="s">
        <v>100</v>
      </c>
      <c r="N9" s="8" t="s">
        <v>26</v>
      </c>
      <c r="O9" s="4" t="s">
        <v>101</v>
      </c>
      <c r="P9" s="2" t="s">
        <v>28</v>
      </c>
    </row>
    <row r="10">
      <c r="A10" s="2" t="s">
        <v>102</v>
      </c>
      <c r="B10" s="3" t="s">
        <v>17</v>
      </c>
      <c r="C10" s="4" t="s">
        <v>103</v>
      </c>
      <c r="D10" s="5" t="s">
        <v>104</v>
      </c>
      <c r="E10" s="5" t="s">
        <v>105</v>
      </c>
      <c r="F10" s="4" t="s">
        <v>106</v>
      </c>
      <c r="G10" s="4" t="s">
        <v>34</v>
      </c>
      <c r="H10" s="2" t="s">
        <v>35</v>
      </c>
      <c r="I10" s="4" t="s">
        <v>56</v>
      </c>
      <c r="J10" s="6">
        <v>6.0</v>
      </c>
      <c r="K10" s="7" t="s">
        <v>107</v>
      </c>
      <c r="L10" s="8"/>
      <c r="M10" s="8"/>
      <c r="N10" s="8" t="s">
        <v>26</v>
      </c>
      <c r="O10" s="4" t="s">
        <v>108</v>
      </c>
      <c r="P10" s="2" t="s">
        <v>28</v>
      </c>
    </row>
    <row r="11">
      <c r="A11" s="2" t="s">
        <v>109</v>
      </c>
      <c r="B11" s="3" t="s">
        <v>17</v>
      </c>
      <c r="C11" s="4" t="s">
        <v>110</v>
      </c>
      <c r="D11" s="5" t="s">
        <v>111</v>
      </c>
      <c r="E11" s="5" t="s">
        <v>112</v>
      </c>
      <c r="F11" s="4" t="s">
        <v>96</v>
      </c>
      <c r="G11" s="4" t="s">
        <v>45</v>
      </c>
      <c r="H11" s="2" t="s">
        <v>35</v>
      </c>
      <c r="I11" s="4" t="s">
        <v>24</v>
      </c>
      <c r="J11" s="6">
        <v>3.0</v>
      </c>
      <c r="K11" s="7" t="s">
        <v>113</v>
      </c>
      <c r="L11" s="8"/>
      <c r="M11" s="8"/>
      <c r="N11" s="8" t="s">
        <v>26</v>
      </c>
      <c r="O11" s="4" t="s">
        <v>114</v>
      </c>
      <c r="P11" s="2" t="s">
        <v>28</v>
      </c>
    </row>
    <row r="12">
      <c r="A12" s="9" t="s">
        <v>115</v>
      </c>
      <c r="B12" s="3" t="s">
        <v>17</v>
      </c>
      <c r="C12" s="10" t="s">
        <v>116</v>
      </c>
      <c r="D12" s="11" t="s">
        <v>31</v>
      </c>
      <c r="E12" s="11" t="s">
        <v>32</v>
      </c>
      <c r="F12" s="10"/>
      <c r="G12" s="10" t="s">
        <v>117</v>
      </c>
      <c r="H12" s="9" t="s">
        <v>118</v>
      </c>
      <c r="I12" s="10" t="s">
        <v>119</v>
      </c>
      <c r="J12" s="6">
        <v>3.0</v>
      </c>
      <c r="K12" s="7" t="s">
        <v>120</v>
      </c>
      <c r="L12" s="8" t="s">
        <v>121</v>
      </c>
      <c r="M12" s="8" t="s">
        <v>122</v>
      </c>
      <c r="N12" s="8" t="s">
        <v>26</v>
      </c>
      <c r="O12" s="10" t="s">
        <v>123</v>
      </c>
      <c r="P12" s="9" t="s">
        <v>28</v>
      </c>
    </row>
    <row r="13">
      <c r="A13" s="2" t="s">
        <v>124</v>
      </c>
      <c r="B13" s="3" t="s">
        <v>17</v>
      </c>
      <c r="C13" s="4" t="s">
        <v>125</v>
      </c>
      <c r="D13" s="5" t="s">
        <v>126</v>
      </c>
      <c r="E13" s="5" t="s">
        <v>127</v>
      </c>
      <c r="F13" s="4" t="s">
        <v>33</v>
      </c>
      <c r="G13" s="4" t="s">
        <v>34</v>
      </c>
      <c r="H13" s="2" t="s">
        <v>35</v>
      </c>
      <c r="I13" s="4" t="s">
        <v>68</v>
      </c>
      <c r="J13" s="6">
        <v>4.0</v>
      </c>
      <c r="K13" s="7" t="s">
        <v>128</v>
      </c>
      <c r="L13" s="8" t="s">
        <v>129</v>
      </c>
      <c r="M13" s="8" t="s">
        <v>130</v>
      </c>
      <c r="N13" s="8" t="s">
        <v>26</v>
      </c>
      <c r="O13" s="4" t="s">
        <v>131</v>
      </c>
      <c r="P13" s="2" t="s">
        <v>28</v>
      </c>
    </row>
    <row r="14">
      <c r="A14" s="2" t="s">
        <v>132</v>
      </c>
      <c r="B14" s="3" t="s">
        <v>17</v>
      </c>
      <c r="C14" s="4" t="s">
        <v>133</v>
      </c>
      <c r="D14" s="5" t="s">
        <v>134</v>
      </c>
      <c r="E14" s="5" t="s">
        <v>135</v>
      </c>
      <c r="F14" s="4" t="s">
        <v>55</v>
      </c>
      <c r="G14" s="4" t="s">
        <v>136</v>
      </c>
      <c r="H14" s="2" t="s">
        <v>23</v>
      </c>
      <c r="I14" s="4" t="s">
        <v>137</v>
      </c>
      <c r="J14" s="6">
        <v>5.0</v>
      </c>
      <c r="K14" s="7" t="s">
        <v>138</v>
      </c>
      <c r="L14" s="8" t="s">
        <v>139</v>
      </c>
      <c r="M14" s="8" t="s">
        <v>140</v>
      </c>
      <c r="N14" s="8" t="s">
        <v>26</v>
      </c>
      <c r="O14" s="4" t="s">
        <v>141</v>
      </c>
      <c r="P14" s="2" t="s">
        <v>28</v>
      </c>
    </row>
    <row r="15">
      <c r="A15" s="2" t="s">
        <v>142</v>
      </c>
      <c r="B15" s="3" t="s">
        <v>17</v>
      </c>
      <c r="C15" s="4" t="s">
        <v>143</v>
      </c>
      <c r="D15" s="5" t="s">
        <v>134</v>
      </c>
      <c r="E15" s="5" t="s">
        <v>135</v>
      </c>
      <c r="F15" s="4" t="s">
        <v>144</v>
      </c>
      <c r="G15" s="4" t="s">
        <v>145</v>
      </c>
      <c r="H15" s="2" t="s">
        <v>23</v>
      </c>
      <c r="I15" s="4" t="s">
        <v>24</v>
      </c>
      <c r="J15" s="6">
        <v>7.0</v>
      </c>
      <c r="K15" s="7" t="s">
        <v>146</v>
      </c>
      <c r="L15" s="8" t="s">
        <v>147</v>
      </c>
      <c r="M15" s="8" t="s">
        <v>147</v>
      </c>
      <c r="N15" s="8" t="s">
        <v>26</v>
      </c>
      <c r="O15" s="4" t="s">
        <v>148</v>
      </c>
      <c r="P15" s="2" t="s">
        <v>28</v>
      </c>
    </row>
    <row r="16">
      <c r="A16" s="9" t="s">
        <v>149</v>
      </c>
      <c r="B16" s="3" t="s">
        <v>17</v>
      </c>
      <c r="C16" s="10" t="s">
        <v>150</v>
      </c>
      <c r="D16" s="11" t="s">
        <v>31</v>
      </c>
      <c r="E16" s="11" t="s">
        <v>32</v>
      </c>
      <c r="F16" s="10" t="s">
        <v>151</v>
      </c>
      <c r="G16" s="10" t="s">
        <v>151</v>
      </c>
      <c r="H16" s="9" t="s">
        <v>35</v>
      </c>
      <c r="I16" s="10" t="s">
        <v>151</v>
      </c>
      <c r="J16" s="6">
        <v>3.0</v>
      </c>
      <c r="K16" s="7" t="s">
        <v>152</v>
      </c>
      <c r="L16" s="8"/>
      <c r="M16" s="8"/>
      <c r="N16" s="8" t="s">
        <v>26</v>
      </c>
      <c r="O16" s="10" t="s">
        <v>153</v>
      </c>
      <c r="P16" s="9" t="s">
        <v>28</v>
      </c>
    </row>
    <row r="17">
      <c r="A17" s="2" t="s">
        <v>154</v>
      </c>
      <c r="B17" s="3" t="s">
        <v>17</v>
      </c>
      <c r="C17" s="4" t="s">
        <v>155</v>
      </c>
      <c r="D17" s="5" t="s">
        <v>156</v>
      </c>
      <c r="E17" s="5" t="s">
        <v>157</v>
      </c>
      <c r="F17" s="4" t="s">
        <v>96</v>
      </c>
      <c r="G17" s="4" t="s">
        <v>34</v>
      </c>
      <c r="H17" s="2" t="s">
        <v>35</v>
      </c>
      <c r="I17" s="4" t="s">
        <v>158</v>
      </c>
      <c r="J17" s="6">
        <v>3.0</v>
      </c>
      <c r="K17" s="7" t="s">
        <v>159</v>
      </c>
      <c r="L17" s="8" t="s">
        <v>160</v>
      </c>
      <c r="M17" s="8" t="s">
        <v>161</v>
      </c>
      <c r="N17" s="8" t="s">
        <v>26</v>
      </c>
      <c r="O17" s="4" t="s">
        <v>162</v>
      </c>
      <c r="P17" s="2" t="s">
        <v>28</v>
      </c>
    </row>
    <row r="18">
      <c r="A18" s="9" t="s">
        <v>163</v>
      </c>
      <c r="B18" s="3" t="s">
        <v>17</v>
      </c>
      <c r="C18" s="10" t="s">
        <v>164</v>
      </c>
      <c r="D18" s="11" t="s">
        <v>31</v>
      </c>
      <c r="E18" s="11" t="s">
        <v>32</v>
      </c>
      <c r="F18" s="10" t="s">
        <v>96</v>
      </c>
      <c r="G18" s="10" t="s">
        <v>34</v>
      </c>
      <c r="H18" s="9" t="s">
        <v>35</v>
      </c>
      <c r="I18" s="10" t="s">
        <v>36</v>
      </c>
      <c r="J18" s="6">
        <v>4.0</v>
      </c>
      <c r="K18" s="7" t="s">
        <v>165</v>
      </c>
      <c r="L18" s="8" t="s">
        <v>166</v>
      </c>
      <c r="M18" s="8" t="s">
        <v>167</v>
      </c>
      <c r="N18" s="8" t="s">
        <v>26</v>
      </c>
      <c r="O18" s="10" t="s">
        <v>168</v>
      </c>
      <c r="P18" s="9" t="s">
        <v>28</v>
      </c>
    </row>
    <row r="19">
      <c r="A19" s="2" t="s">
        <v>169</v>
      </c>
      <c r="B19" s="3" t="s">
        <v>17</v>
      </c>
      <c r="C19" s="4" t="s">
        <v>170</v>
      </c>
      <c r="D19" s="5"/>
      <c r="E19" s="5"/>
      <c r="F19" s="4" t="s">
        <v>171</v>
      </c>
      <c r="G19" s="4" t="s">
        <v>171</v>
      </c>
      <c r="H19" s="2" t="s">
        <v>171</v>
      </c>
      <c r="I19" s="4" t="s">
        <v>171</v>
      </c>
      <c r="J19" s="6">
        <v>9.0</v>
      </c>
      <c r="K19" s="7" t="s">
        <v>172</v>
      </c>
      <c r="L19" s="8" t="s">
        <v>173</v>
      </c>
      <c r="M19" s="8" t="s">
        <v>174</v>
      </c>
      <c r="N19" s="8" t="s">
        <v>26</v>
      </c>
      <c r="O19" s="4" t="s">
        <v>175</v>
      </c>
      <c r="P19" s="2" t="s">
        <v>28</v>
      </c>
    </row>
    <row r="20">
      <c r="A20" s="9" t="s">
        <v>176</v>
      </c>
      <c r="B20" s="3" t="s">
        <v>17</v>
      </c>
      <c r="C20" s="10" t="s">
        <v>177</v>
      </c>
      <c r="D20" s="11" t="s">
        <v>178</v>
      </c>
      <c r="E20" s="11" t="s">
        <v>179</v>
      </c>
      <c r="F20" s="10" t="s">
        <v>33</v>
      </c>
      <c r="G20" s="10" t="s">
        <v>45</v>
      </c>
      <c r="H20" s="9" t="s">
        <v>23</v>
      </c>
      <c r="I20" s="10" t="s">
        <v>180</v>
      </c>
      <c r="J20" s="6">
        <v>5.0</v>
      </c>
      <c r="K20" s="7" t="s">
        <v>181</v>
      </c>
      <c r="L20" s="8" t="s">
        <v>182</v>
      </c>
      <c r="M20" s="8" t="s">
        <v>183</v>
      </c>
      <c r="N20" s="8" t="s">
        <v>26</v>
      </c>
      <c r="O20" s="10" t="s">
        <v>184</v>
      </c>
      <c r="P20" s="9" t="s">
        <v>28</v>
      </c>
    </row>
    <row r="21" ht="15.75" customHeight="1">
      <c r="A21" s="2" t="s">
        <v>185</v>
      </c>
      <c r="B21" s="3" t="s">
        <v>17</v>
      </c>
      <c r="C21" s="4" t="s">
        <v>186</v>
      </c>
      <c r="D21" s="5" t="s">
        <v>187</v>
      </c>
      <c r="E21" s="5" t="s">
        <v>188</v>
      </c>
      <c r="F21" s="4" t="s">
        <v>33</v>
      </c>
      <c r="G21" s="4" t="s">
        <v>45</v>
      </c>
      <c r="H21" s="2" t="s">
        <v>35</v>
      </c>
      <c r="I21" s="4" t="s">
        <v>68</v>
      </c>
      <c r="J21" s="6">
        <v>3.0</v>
      </c>
      <c r="K21" s="7" t="s">
        <v>189</v>
      </c>
      <c r="L21" s="8"/>
      <c r="M21" s="8"/>
      <c r="N21" s="8" t="s">
        <v>26</v>
      </c>
      <c r="O21" s="4" t="s">
        <v>190</v>
      </c>
      <c r="P21" s="2" t="s">
        <v>28</v>
      </c>
    </row>
    <row r="22" ht="15.75" customHeight="1">
      <c r="A22" s="2" t="s">
        <v>191</v>
      </c>
      <c r="B22" s="3" t="s">
        <v>17</v>
      </c>
      <c r="C22" s="4" t="s">
        <v>192</v>
      </c>
      <c r="D22" s="5"/>
      <c r="E22" s="5"/>
      <c r="F22" s="4" t="s">
        <v>86</v>
      </c>
      <c r="G22" s="4" t="s">
        <v>22</v>
      </c>
      <c r="H22" s="2" t="s">
        <v>118</v>
      </c>
      <c r="I22" s="4" t="s">
        <v>193</v>
      </c>
      <c r="J22" s="6">
        <v>5.0</v>
      </c>
      <c r="K22" s="7" t="s">
        <v>194</v>
      </c>
      <c r="L22" s="8" t="s">
        <v>195</v>
      </c>
      <c r="M22" s="8" t="s">
        <v>196</v>
      </c>
      <c r="N22" s="8" t="s">
        <v>26</v>
      </c>
      <c r="O22" s="4" t="s">
        <v>197</v>
      </c>
      <c r="P22" s="2" t="s">
        <v>28</v>
      </c>
    </row>
    <row r="23" ht="15.75" customHeight="1">
      <c r="A23" s="9" t="s">
        <v>198</v>
      </c>
      <c r="B23" s="3" t="s">
        <v>17</v>
      </c>
      <c r="C23" s="10" t="s">
        <v>199</v>
      </c>
      <c r="D23" s="11" t="s">
        <v>200</v>
      </c>
      <c r="E23" s="11" t="s">
        <v>201</v>
      </c>
      <c r="F23" s="10" t="s">
        <v>77</v>
      </c>
      <c r="G23" s="10" t="s">
        <v>202</v>
      </c>
      <c r="H23" s="9" t="s">
        <v>35</v>
      </c>
      <c r="I23" s="10" t="s">
        <v>24</v>
      </c>
      <c r="J23" s="6">
        <v>4.0</v>
      </c>
      <c r="K23" s="7" t="s">
        <v>203</v>
      </c>
      <c r="L23" s="8" t="s">
        <v>204</v>
      </c>
      <c r="M23" s="8" t="s">
        <v>205</v>
      </c>
      <c r="N23" s="8" t="s">
        <v>26</v>
      </c>
      <c r="O23" s="10" t="s">
        <v>206</v>
      </c>
      <c r="P23" s="9" t="s">
        <v>28</v>
      </c>
    </row>
    <row r="24" ht="15.75" customHeight="1">
      <c r="A24" s="9" t="s">
        <v>207</v>
      </c>
      <c r="B24" s="3" t="s">
        <v>17</v>
      </c>
      <c r="C24" s="10" t="s">
        <v>208</v>
      </c>
      <c r="D24" s="11" t="s">
        <v>209</v>
      </c>
      <c r="E24" s="11" t="s">
        <v>210</v>
      </c>
      <c r="F24" s="10" t="s">
        <v>55</v>
      </c>
      <c r="G24" s="10" t="s">
        <v>45</v>
      </c>
      <c r="H24" s="9" t="s">
        <v>23</v>
      </c>
      <c r="I24" s="10" t="s">
        <v>24</v>
      </c>
      <c r="J24" s="6">
        <v>4.0</v>
      </c>
      <c r="K24" s="7" t="s">
        <v>211</v>
      </c>
      <c r="L24" s="8" t="s">
        <v>212</v>
      </c>
      <c r="M24" s="8" t="s">
        <v>213</v>
      </c>
      <c r="N24" s="8" t="s">
        <v>26</v>
      </c>
      <c r="O24" s="10" t="s">
        <v>214</v>
      </c>
      <c r="P24" s="9" t="s">
        <v>28</v>
      </c>
    </row>
    <row r="25" ht="15.75" customHeight="1">
      <c r="A25" s="9" t="s">
        <v>215</v>
      </c>
      <c r="B25" s="3" t="s">
        <v>17</v>
      </c>
      <c r="C25" s="10" t="s">
        <v>216</v>
      </c>
      <c r="D25" s="11" t="s">
        <v>217</v>
      </c>
      <c r="E25" s="11" t="s">
        <v>218</v>
      </c>
      <c r="F25" s="10" t="s">
        <v>96</v>
      </c>
      <c r="G25" s="10" t="s">
        <v>136</v>
      </c>
      <c r="H25" s="9" t="s">
        <v>35</v>
      </c>
      <c r="I25" s="10" t="s">
        <v>36</v>
      </c>
      <c r="J25" s="6">
        <v>3.0</v>
      </c>
      <c r="K25" s="7" t="s">
        <v>219</v>
      </c>
      <c r="L25" s="8"/>
      <c r="M25" s="8"/>
      <c r="N25" s="8" t="s">
        <v>26</v>
      </c>
      <c r="O25" s="10" t="s">
        <v>220</v>
      </c>
      <c r="P25" s="9" t="s">
        <v>28</v>
      </c>
    </row>
    <row r="26" ht="15.75" customHeight="1">
      <c r="A26" s="2" t="s">
        <v>221</v>
      </c>
      <c r="B26" s="3" t="s">
        <v>17</v>
      </c>
      <c r="C26" s="4" t="s">
        <v>222</v>
      </c>
      <c r="D26" s="5" t="s">
        <v>31</v>
      </c>
      <c r="E26" s="5" t="s">
        <v>32</v>
      </c>
      <c r="F26" s="4" t="s">
        <v>33</v>
      </c>
      <c r="G26" s="4" t="s">
        <v>34</v>
      </c>
      <c r="H26" s="2" t="s">
        <v>35</v>
      </c>
      <c r="I26" s="4" t="s">
        <v>68</v>
      </c>
      <c r="J26" s="6">
        <v>4.0</v>
      </c>
      <c r="K26" s="7" t="s">
        <v>223</v>
      </c>
      <c r="L26" s="8" t="s">
        <v>224</v>
      </c>
      <c r="M26" s="8" t="s">
        <v>225</v>
      </c>
      <c r="N26" s="8" t="s">
        <v>26</v>
      </c>
      <c r="O26" s="4" t="s">
        <v>226</v>
      </c>
      <c r="P26" s="2" t="s">
        <v>28</v>
      </c>
    </row>
    <row r="27" ht="15.75" customHeight="1">
      <c r="A27" s="9" t="s">
        <v>227</v>
      </c>
      <c r="B27" s="3" t="s">
        <v>17</v>
      </c>
      <c r="C27" s="10" t="s">
        <v>228</v>
      </c>
      <c r="D27" s="11" t="s">
        <v>229</v>
      </c>
      <c r="E27" s="11" t="s">
        <v>230</v>
      </c>
      <c r="F27" s="10" t="s">
        <v>96</v>
      </c>
      <c r="G27" s="10" t="s">
        <v>45</v>
      </c>
      <c r="H27" s="9" t="s">
        <v>23</v>
      </c>
      <c r="I27" s="10" t="s">
        <v>231</v>
      </c>
      <c r="J27" s="6">
        <v>3.0</v>
      </c>
      <c r="K27" s="7" t="s">
        <v>232</v>
      </c>
      <c r="L27" s="8"/>
      <c r="M27" s="8"/>
      <c r="N27" s="8" t="s">
        <v>26</v>
      </c>
      <c r="O27" s="10" t="s">
        <v>233</v>
      </c>
      <c r="P27" s="9" t="s">
        <v>28</v>
      </c>
    </row>
    <row r="28" ht="15.75" customHeight="1">
      <c r="A28" s="2" t="s">
        <v>234</v>
      </c>
      <c r="B28" s="3" t="s">
        <v>17</v>
      </c>
      <c r="C28" s="4" t="s">
        <v>235</v>
      </c>
      <c r="D28" s="5" t="s">
        <v>236</v>
      </c>
      <c r="E28" s="5" t="s">
        <v>237</v>
      </c>
      <c r="F28" s="4" t="s">
        <v>86</v>
      </c>
      <c r="G28" s="4" t="s">
        <v>145</v>
      </c>
      <c r="H28" s="2" t="s">
        <v>35</v>
      </c>
      <c r="I28" s="4" t="s">
        <v>158</v>
      </c>
      <c r="J28" s="6">
        <v>6.0</v>
      </c>
      <c r="K28" s="7" t="s">
        <v>238</v>
      </c>
      <c r="L28" s="8"/>
      <c r="M28" s="8"/>
      <c r="N28" s="8" t="s">
        <v>26</v>
      </c>
      <c r="O28" s="4" t="s">
        <v>239</v>
      </c>
      <c r="P28" s="2" t="s">
        <v>28</v>
      </c>
    </row>
    <row r="29" ht="15.75" customHeight="1">
      <c r="A29" s="9" t="s">
        <v>240</v>
      </c>
      <c r="B29" s="3" t="s">
        <v>17</v>
      </c>
      <c r="C29" s="10" t="s">
        <v>241</v>
      </c>
      <c r="D29" s="11" t="s">
        <v>31</v>
      </c>
      <c r="E29" s="11" t="s">
        <v>32</v>
      </c>
      <c r="F29" s="10" t="s">
        <v>33</v>
      </c>
      <c r="G29" s="10" t="s">
        <v>34</v>
      </c>
      <c r="H29" s="9" t="s">
        <v>35</v>
      </c>
      <c r="I29" s="10" t="s">
        <v>68</v>
      </c>
      <c r="J29" s="6">
        <v>5.0</v>
      </c>
      <c r="K29" s="7" t="s">
        <v>242</v>
      </c>
      <c r="L29" s="8" t="s">
        <v>243</v>
      </c>
      <c r="M29" s="8" t="s">
        <v>244</v>
      </c>
      <c r="N29" s="8" t="s">
        <v>26</v>
      </c>
      <c r="O29" s="10" t="s">
        <v>245</v>
      </c>
      <c r="P29" s="9" t="s">
        <v>28</v>
      </c>
    </row>
    <row r="30" ht="15.75" customHeight="1">
      <c r="A30" s="9" t="s">
        <v>246</v>
      </c>
      <c r="B30" s="3" t="s">
        <v>17</v>
      </c>
      <c r="C30" s="10" t="s">
        <v>247</v>
      </c>
      <c r="D30" s="11" t="s">
        <v>248</v>
      </c>
      <c r="E30" s="11" t="s">
        <v>249</v>
      </c>
      <c r="F30" s="10" t="s">
        <v>21</v>
      </c>
      <c r="G30" s="10" t="s">
        <v>87</v>
      </c>
      <c r="H30" s="9" t="s">
        <v>23</v>
      </c>
      <c r="I30" s="10" t="s">
        <v>158</v>
      </c>
      <c r="J30" s="6">
        <v>3.0</v>
      </c>
      <c r="K30" s="7" t="s">
        <v>250</v>
      </c>
      <c r="L30" s="8" t="s">
        <v>251</v>
      </c>
      <c r="M30" s="8" t="s">
        <v>251</v>
      </c>
      <c r="N30" s="8" t="s">
        <v>26</v>
      </c>
      <c r="O30" s="10" t="s">
        <v>252</v>
      </c>
      <c r="P30" s="9" t="s">
        <v>28</v>
      </c>
    </row>
    <row r="31" ht="15.75" customHeight="1">
      <c r="A31" s="9" t="s">
        <v>253</v>
      </c>
      <c r="B31" s="3" t="s">
        <v>17</v>
      </c>
      <c r="C31" s="10" t="s">
        <v>254</v>
      </c>
      <c r="D31" s="11" t="s">
        <v>255</v>
      </c>
      <c r="E31" s="11" t="s">
        <v>256</v>
      </c>
      <c r="F31" s="10" t="s">
        <v>21</v>
      </c>
      <c r="G31" s="10" t="s">
        <v>257</v>
      </c>
      <c r="H31" s="9" t="s">
        <v>35</v>
      </c>
      <c r="I31" s="10" t="s">
        <v>68</v>
      </c>
      <c r="J31" s="6">
        <v>3.0</v>
      </c>
      <c r="K31" s="7" t="s">
        <v>258</v>
      </c>
      <c r="L31" s="8" t="s">
        <v>259</v>
      </c>
      <c r="M31" s="8" t="s">
        <v>260</v>
      </c>
      <c r="N31" s="8" t="s">
        <v>26</v>
      </c>
      <c r="O31" s="10" t="s">
        <v>261</v>
      </c>
      <c r="P31" s="9" t="s">
        <v>28</v>
      </c>
    </row>
    <row r="32" ht="15.75" customHeight="1">
      <c r="A32" s="2" t="s">
        <v>262</v>
      </c>
      <c r="B32" s="3" t="s">
        <v>17</v>
      </c>
      <c r="C32" s="4" t="s">
        <v>263</v>
      </c>
      <c r="D32" s="5" t="s">
        <v>31</v>
      </c>
      <c r="E32" s="5" t="s">
        <v>32</v>
      </c>
      <c r="F32" s="4" t="s">
        <v>33</v>
      </c>
      <c r="G32" s="4" t="s">
        <v>34</v>
      </c>
      <c r="H32" s="2" t="s">
        <v>35</v>
      </c>
      <c r="I32" s="12">
        <v>5.0</v>
      </c>
      <c r="J32" s="6">
        <v>7.0</v>
      </c>
      <c r="K32" s="7" t="s">
        <v>264</v>
      </c>
      <c r="L32" s="8" t="s">
        <v>265</v>
      </c>
      <c r="M32" s="8" t="s">
        <v>266</v>
      </c>
      <c r="N32" s="8" t="s">
        <v>26</v>
      </c>
      <c r="O32" s="4" t="s">
        <v>267</v>
      </c>
      <c r="P32" s="2" t="s">
        <v>28</v>
      </c>
    </row>
    <row r="33" ht="15.75" customHeight="1">
      <c r="A33" s="2" t="s">
        <v>268</v>
      </c>
      <c r="B33" s="3" t="s">
        <v>17</v>
      </c>
      <c r="C33" s="4" t="s">
        <v>269</v>
      </c>
      <c r="D33" s="5" t="s">
        <v>31</v>
      </c>
      <c r="E33" s="5" t="s">
        <v>32</v>
      </c>
      <c r="F33" s="4" t="s">
        <v>33</v>
      </c>
      <c r="G33" s="4" t="s">
        <v>34</v>
      </c>
      <c r="H33" s="2" t="s">
        <v>35</v>
      </c>
      <c r="I33" s="4" t="s">
        <v>270</v>
      </c>
      <c r="J33" s="6">
        <v>4.0</v>
      </c>
      <c r="K33" s="7" t="s">
        <v>271</v>
      </c>
      <c r="L33" s="8" t="s">
        <v>272</v>
      </c>
      <c r="M33" s="8" t="s">
        <v>273</v>
      </c>
      <c r="N33" s="8" t="s">
        <v>26</v>
      </c>
      <c r="O33" s="4" t="s">
        <v>274</v>
      </c>
      <c r="P33" s="2" t="s">
        <v>28</v>
      </c>
    </row>
    <row r="34" ht="15.75" customHeight="1">
      <c r="A34" s="2" t="s">
        <v>275</v>
      </c>
      <c r="B34" s="3" t="s">
        <v>17</v>
      </c>
      <c r="C34" s="4" t="s">
        <v>276</v>
      </c>
      <c r="D34" s="5" t="s">
        <v>277</v>
      </c>
      <c r="E34" s="5" t="s">
        <v>278</v>
      </c>
      <c r="F34" s="4" t="s">
        <v>33</v>
      </c>
      <c r="G34" s="4" t="s">
        <v>34</v>
      </c>
      <c r="H34" s="2" t="s">
        <v>35</v>
      </c>
      <c r="I34" s="4" t="s">
        <v>151</v>
      </c>
      <c r="J34" s="6">
        <v>3.0</v>
      </c>
      <c r="K34" s="7" t="s">
        <v>279</v>
      </c>
      <c r="L34" s="8" t="s">
        <v>280</v>
      </c>
      <c r="M34" s="8" t="s">
        <v>280</v>
      </c>
      <c r="N34" s="8" t="s">
        <v>26</v>
      </c>
      <c r="O34" s="4" t="s">
        <v>281</v>
      </c>
      <c r="P34" s="2" t="s">
        <v>28</v>
      </c>
    </row>
    <row r="35" ht="15.75" customHeight="1">
      <c r="A35" s="2" t="s">
        <v>282</v>
      </c>
      <c r="B35" s="3" t="s">
        <v>17</v>
      </c>
      <c r="C35" s="4" t="s">
        <v>283</v>
      </c>
      <c r="D35" s="5" t="s">
        <v>31</v>
      </c>
      <c r="E35" s="5" t="s">
        <v>32</v>
      </c>
      <c r="F35" s="4" t="s">
        <v>86</v>
      </c>
      <c r="G35" s="4" t="s">
        <v>87</v>
      </c>
      <c r="H35" s="2" t="s">
        <v>35</v>
      </c>
      <c r="I35" s="4" t="s">
        <v>284</v>
      </c>
      <c r="J35" s="6">
        <v>3.0</v>
      </c>
      <c r="K35" s="7" t="s">
        <v>285</v>
      </c>
      <c r="L35" s="8" t="s">
        <v>286</v>
      </c>
      <c r="M35" s="8" t="s">
        <v>287</v>
      </c>
      <c r="N35" s="8" t="s">
        <v>26</v>
      </c>
      <c r="O35" s="4" t="s">
        <v>288</v>
      </c>
      <c r="P35" s="2" t="s">
        <v>28</v>
      </c>
    </row>
    <row r="36" ht="15.75" customHeight="1">
      <c r="A36" s="9" t="s">
        <v>289</v>
      </c>
      <c r="B36" s="3" t="s">
        <v>17</v>
      </c>
      <c r="C36" s="10" t="s">
        <v>290</v>
      </c>
      <c r="D36" s="11"/>
      <c r="E36" s="11"/>
      <c r="F36" s="10" t="s">
        <v>86</v>
      </c>
      <c r="G36" s="10" t="s">
        <v>87</v>
      </c>
      <c r="H36" s="9" t="s">
        <v>35</v>
      </c>
      <c r="I36" s="10" t="s">
        <v>68</v>
      </c>
      <c r="J36" s="6">
        <v>4.0</v>
      </c>
      <c r="K36" s="7" t="s">
        <v>291</v>
      </c>
      <c r="L36" s="8" t="s">
        <v>292</v>
      </c>
      <c r="M36" s="8" t="s">
        <v>293</v>
      </c>
      <c r="N36" s="8" t="s">
        <v>26</v>
      </c>
      <c r="O36" s="10" t="s">
        <v>294</v>
      </c>
      <c r="P36" s="9" t="s">
        <v>28</v>
      </c>
    </row>
    <row r="37" ht="15.75" customHeight="1">
      <c r="A37" s="2" t="s">
        <v>295</v>
      </c>
      <c r="B37" s="3" t="s">
        <v>17</v>
      </c>
      <c r="C37" s="4" t="s">
        <v>296</v>
      </c>
      <c r="D37" s="5" t="s">
        <v>297</v>
      </c>
      <c r="E37" s="5" t="s">
        <v>298</v>
      </c>
      <c r="F37" s="4" t="s">
        <v>33</v>
      </c>
      <c r="G37" s="4" t="s">
        <v>34</v>
      </c>
      <c r="H37" s="2" t="s">
        <v>35</v>
      </c>
      <c r="I37" s="4" t="s">
        <v>68</v>
      </c>
      <c r="J37" s="6">
        <v>3.0</v>
      </c>
      <c r="K37" s="7" t="s">
        <v>299</v>
      </c>
      <c r="L37" s="8" t="s">
        <v>300</v>
      </c>
      <c r="M37" s="8" t="s">
        <v>301</v>
      </c>
      <c r="N37" s="8" t="s">
        <v>26</v>
      </c>
      <c r="O37" s="4" t="s">
        <v>302</v>
      </c>
      <c r="P37" s="2" t="s">
        <v>28</v>
      </c>
    </row>
    <row r="38" ht="15.75" customHeight="1">
      <c r="A38" s="9" t="s">
        <v>303</v>
      </c>
      <c r="B38" s="3" t="s">
        <v>17</v>
      </c>
      <c r="C38" s="10" t="s">
        <v>304</v>
      </c>
      <c r="D38" s="11" t="s">
        <v>31</v>
      </c>
      <c r="E38" s="11" t="s">
        <v>305</v>
      </c>
      <c r="F38" s="10" t="s">
        <v>21</v>
      </c>
      <c r="G38" s="10" t="s">
        <v>87</v>
      </c>
      <c r="H38" s="9" t="s">
        <v>306</v>
      </c>
      <c r="I38" s="10" t="s">
        <v>306</v>
      </c>
      <c r="J38" s="6">
        <v>3.0</v>
      </c>
      <c r="K38" s="7" t="s">
        <v>307</v>
      </c>
      <c r="L38" s="8" t="s">
        <v>308</v>
      </c>
      <c r="M38" s="8" t="s">
        <v>309</v>
      </c>
      <c r="N38" s="8" t="s">
        <v>26</v>
      </c>
      <c r="O38" s="10" t="s">
        <v>310</v>
      </c>
      <c r="P38" s="9" t="s">
        <v>28</v>
      </c>
    </row>
    <row r="39" ht="15.75" customHeight="1">
      <c r="A39" s="9" t="s">
        <v>311</v>
      </c>
      <c r="B39" s="3" t="s">
        <v>17</v>
      </c>
      <c r="C39" s="10" t="s">
        <v>312</v>
      </c>
      <c r="D39" s="11" t="s">
        <v>31</v>
      </c>
      <c r="E39" s="11" t="s">
        <v>32</v>
      </c>
      <c r="F39" s="10" t="s">
        <v>33</v>
      </c>
      <c r="G39" s="10" t="s">
        <v>34</v>
      </c>
      <c r="H39" s="9" t="s">
        <v>35</v>
      </c>
      <c r="I39" s="10" t="s">
        <v>313</v>
      </c>
      <c r="J39" s="6">
        <v>4.0</v>
      </c>
      <c r="K39" s="7" t="s">
        <v>314</v>
      </c>
      <c r="L39" s="8" t="s">
        <v>315</v>
      </c>
      <c r="M39" s="8" t="s">
        <v>316</v>
      </c>
      <c r="N39" s="8" t="s">
        <v>26</v>
      </c>
      <c r="O39" s="10" t="s">
        <v>317</v>
      </c>
      <c r="P39" s="9" t="s">
        <v>28</v>
      </c>
    </row>
    <row r="40" ht="15.75" customHeight="1">
      <c r="A40" s="2" t="s">
        <v>318</v>
      </c>
      <c r="B40" s="3" t="s">
        <v>17</v>
      </c>
      <c r="C40" s="4" t="s">
        <v>319</v>
      </c>
      <c r="D40" s="5" t="s">
        <v>31</v>
      </c>
      <c r="E40" s="5" t="s">
        <v>32</v>
      </c>
      <c r="F40" s="4" t="s">
        <v>33</v>
      </c>
      <c r="G40" s="4" t="s">
        <v>34</v>
      </c>
      <c r="H40" s="2" t="s">
        <v>35</v>
      </c>
      <c r="I40" s="4" t="s">
        <v>68</v>
      </c>
      <c r="J40" s="6">
        <v>4.0</v>
      </c>
      <c r="K40" s="7" t="s">
        <v>320</v>
      </c>
      <c r="L40" s="8"/>
      <c r="M40" s="8"/>
      <c r="N40" s="8" t="s">
        <v>26</v>
      </c>
      <c r="O40" s="4" t="s">
        <v>321</v>
      </c>
      <c r="P40" s="2" t="s">
        <v>28</v>
      </c>
    </row>
    <row r="41" ht="15.75" customHeight="1">
      <c r="A41" s="9" t="s">
        <v>322</v>
      </c>
      <c r="B41" s="3" t="s">
        <v>17</v>
      </c>
      <c r="C41" s="10" t="s">
        <v>323</v>
      </c>
      <c r="D41" s="11" t="s">
        <v>324</v>
      </c>
      <c r="E41" s="11" t="s">
        <v>325</v>
      </c>
      <c r="F41" s="10" t="s">
        <v>96</v>
      </c>
      <c r="G41" s="10" t="s">
        <v>136</v>
      </c>
      <c r="H41" s="9" t="s">
        <v>35</v>
      </c>
      <c r="I41" s="10" t="s">
        <v>158</v>
      </c>
      <c r="J41" s="6">
        <v>4.0</v>
      </c>
      <c r="K41" s="7" t="s">
        <v>326</v>
      </c>
      <c r="L41" s="8" t="s">
        <v>327</v>
      </c>
      <c r="M41" s="8" t="s">
        <v>328</v>
      </c>
      <c r="N41" s="8" t="s">
        <v>26</v>
      </c>
      <c r="O41" s="10" t="s">
        <v>329</v>
      </c>
      <c r="P41" s="9" t="s">
        <v>28</v>
      </c>
    </row>
    <row r="42" ht="15.75" customHeight="1">
      <c r="A42" s="2" t="s">
        <v>330</v>
      </c>
      <c r="B42" s="3" t="s">
        <v>17</v>
      </c>
      <c r="C42" s="4" t="s">
        <v>331</v>
      </c>
      <c r="D42" s="5" t="s">
        <v>94</v>
      </c>
      <c r="E42" s="5" t="s">
        <v>95</v>
      </c>
      <c r="F42" s="4" t="s">
        <v>96</v>
      </c>
      <c r="G42" s="4" t="s">
        <v>34</v>
      </c>
      <c r="H42" s="2" t="s">
        <v>35</v>
      </c>
      <c r="I42" s="4" t="s">
        <v>284</v>
      </c>
      <c r="J42" s="6">
        <v>2.0</v>
      </c>
      <c r="K42" s="7" t="s">
        <v>332</v>
      </c>
      <c r="L42" s="8" t="s">
        <v>333</v>
      </c>
      <c r="M42" s="8" t="s">
        <v>334</v>
      </c>
      <c r="N42" s="8" t="s">
        <v>26</v>
      </c>
      <c r="O42" s="4" t="s">
        <v>335</v>
      </c>
      <c r="P42" s="2" t="s">
        <v>28</v>
      </c>
    </row>
    <row r="43" ht="15.75" customHeight="1">
      <c r="A43" s="2" t="s">
        <v>336</v>
      </c>
      <c r="B43" s="3" t="s">
        <v>17</v>
      </c>
      <c r="C43" s="4" t="s">
        <v>337</v>
      </c>
      <c r="D43" s="5" t="s">
        <v>338</v>
      </c>
      <c r="E43" s="5" t="s">
        <v>339</v>
      </c>
      <c r="F43" s="4" t="s">
        <v>55</v>
      </c>
      <c r="G43" s="4" t="s">
        <v>45</v>
      </c>
      <c r="H43" s="2" t="s">
        <v>35</v>
      </c>
      <c r="I43" s="4" t="s">
        <v>24</v>
      </c>
      <c r="J43" s="6">
        <v>5.0</v>
      </c>
      <c r="K43" s="7" t="s">
        <v>340</v>
      </c>
      <c r="L43" s="8"/>
      <c r="M43" s="8"/>
      <c r="N43" s="8" t="s">
        <v>26</v>
      </c>
      <c r="O43" s="4" t="s">
        <v>341</v>
      </c>
      <c r="P43" s="2" t="s">
        <v>28</v>
      </c>
    </row>
    <row r="44" ht="15.75" customHeight="1">
      <c r="A44" s="9" t="s">
        <v>342</v>
      </c>
      <c r="B44" s="3" t="s">
        <v>17</v>
      </c>
      <c r="C44" s="10" t="s">
        <v>343</v>
      </c>
      <c r="D44" s="11" t="s">
        <v>344</v>
      </c>
      <c r="E44" s="11" t="s">
        <v>345</v>
      </c>
      <c r="F44" s="10" t="s">
        <v>44</v>
      </c>
      <c r="G44" s="10" t="s">
        <v>136</v>
      </c>
      <c r="H44" s="9" t="s">
        <v>35</v>
      </c>
      <c r="I44" s="10" t="s">
        <v>158</v>
      </c>
      <c r="J44" s="6">
        <v>4.0</v>
      </c>
      <c r="K44" s="7" t="s">
        <v>346</v>
      </c>
      <c r="L44" s="8" t="s">
        <v>347</v>
      </c>
      <c r="M44" s="8" t="s">
        <v>348</v>
      </c>
      <c r="N44" s="8" t="s">
        <v>26</v>
      </c>
      <c r="O44" s="10" t="s">
        <v>349</v>
      </c>
      <c r="P44" s="9" t="s">
        <v>28</v>
      </c>
    </row>
    <row r="45" ht="15.75" customHeight="1">
      <c r="A45" s="9" t="s">
        <v>350</v>
      </c>
      <c r="B45" s="3" t="s">
        <v>17</v>
      </c>
      <c r="C45" s="10" t="s">
        <v>351</v>
      </c>
      <c r="D45" s="11" t="s">
        <v>352</v>
      </c>
      <c r="E45" s="11" t="s">
        <v>353</v>
      </c>
      <c r="F45" s="10" t="s">
        <v>86</v>
      </c>
      <c r="G45" s="10" t="s">
        <v>87</v>
      </c>
      <c r="H45" s="9" t="s">
        <v>35</v>
      </c>
      <c r="I45" s="10" t="s">
        <v>68</v>
      </c>
      <c r="J45" s="6">
        <v>4.0</v>
      </c>
      <c r="K45" s="7" t="s">
        <v>354</v>
      </c>
      <c r="L45" s="8"/>
      <c r="M45" s="8"/>
      <c r="N45" s="8" t="s">
        <v>26</v>
      </c>
      <c r="O45" s="10" t="s">
        <v>355</v>
      </c>
      <c r="P45" s="9" t="s">
        <v>28</v>
      </c>
    </row>
    <row r="46" ht="15.75" customHeight="1">
      <c r="A46" s="9" t="s">
        <v>356</v>
      </c>
      <c r="B46" s="3" t="s">
        <v>17</v>
      </c>
      <c r="C46" s="10" t="s">
        <v>357</v>
      </c>
      <c r="D46" s="11" t="s">
        <v>358</v>
      </c>
      <c r="E46" s="11" t="s">
        <v>359</v>
      </c>
      <c r="F46" s="10" t="s">
        <v>360</v>
      </c>
      <c r="G46" s="10" t="s">
        <v>87</v>
      </c>
      <c r="H46" s="9" t="s">
        <v>361</v>
      </c>
      <c r="I46" s="10" t="s">
        <v>158</v>
      </c>
      <c r="J46" s="6">
        <v>3.0</v>
      </c>
      <c r="K46" s="7" t="s">
        <v>362</v>
      </c>
      <c r="L46" s="8" t="s">
        <v>363</v>
      </c>
      <c r="M46" s="8" t="s">
        <v>364</v>
      </c>
      <c r="N46" s="8" t="s">
        <v>26</v>
      </c>
      <c r="O46" s="10" t="s">
        <v>365</v>
      </c>
      <c r="P46" s="9" t="s">
        <v>28</v>
      </c>
    </row>
    <row r="47" ht="15.75" customHeight="1">
      <c r="A47" s="2" t="s">
        <v>366</v>
      </c>
      <c r="B47" s="3" t="s">
        <v>17</v>
      </c>
      <c r="C47" s="4" t="s">
        <v>357</v>
      </c>
      <c r="D47" s="5" t="s">
        <v>358</v>
      </c>
      <c r="E47" s="5" t="s">
        <v>359</v>
      </c>
      <c r="F47" s="4" t="s">
        <v>367</v>
      </c>
      <c r="G47" s="4" t="s">
        <v>368</v>
      </c>
      <c r="H47" s="2" t="s">
        <v>361</v>
      </c>
      <c r="I47" s="4" t="s">
        <v>369</v>
      </c>
      <c r="J47" s="6">
        <v>4.0</v>
      </c>
      <c r="K47" s="7" t="s">
        <v>370</v>
      </c>
      <c r="L47" s="8"/>
      <c r="M47" s="8"/>
      <c r="N47" s="8" t="s">
        <v>26</v>
      </c>
      <c r="O47" s="4" t="s">
        <v>371</v>
      </c>
      <c r="P47" s="2" t="s">
        <v>28</v>
      </c>
    </row>
    <row r="48" ht="15.75" customHeight="1">
      <c r="A48" s="2" t="s">
        <v>372</v>
      </c>
      <c r="B48" s="3" t="s">
        <v>17</v>
      </c>
      <c r="C48" s="4" t="s">
        <v>373</v>
      </c>
      <c r="D48" s="5" t="s">
        <v>31</v>
      </c>
      <c r="E48" s="5" t="s">
        <v>32</v>
      </c>
      <c r="F48" s="4" t="s">
        <v>33</v>
      </c>
      <c r="G48" s="4" t="s">
        <v>34</v>
      </c>
      <c r="H48" s="2" t="s">
        <v>35</v>
      </c>
      <c r="I48" s="4" t="s">
        <v>36</v>
      </c>
      <c r="J48" s="6">
        <v>4.0</v>
      </c>
      <c r="K48" s="7" t="s">
        <v>374</v>
      </c>
      <c r="L48" s="8"/>
      <c r="M48" s="8"/>
      <c r="N48" s="8" t="s">
        <v>26</v>
      </c>
      <c r="O48" s="4" t="s">
        <v>375</v>
      </c>
      <c r="P48" s="2" t="s">
        <v>28</v>
      </c>
    </row>
    <row r="49" ht="15.75" customHeight="1">
      <c r="A49" s="2" t="s">
        <v>376</v>
      </c>
      <c r="B49" s="3" t="s">
        <v>17</v>
      </c>
      <c r="C49" s="4" t="s">
        <v>377</v>
      </c>
      <c r="D49" s="5" t="s">
        <v>31</v>
      </c>
      <c r="E49" s="5" t="s">
        <v>32</v>
      </c>
      <c r="F49" s="4" t="s">
        <v>33</v>
      </c>
      <c r="G49" s="4" t="s">
        <v>34</v>
      </c>
      <c r="H49" s="2" t="s">
        <v>35</v>
      </c>
      <c r="I49" s="4" t="s">
        <v>231</v>
      </c>
      <c r="J49" s="6">
        <v>4.0</v>
      </c>
      <c r="K49" s="7" t="s">
        <v>378</v>
      </c>
      <c r="L49" s="8" t="s">
        <v>379</v>
      </c>
      <c r="M49" s="8" t="s">
        <v>380</v>
      </c>
      <c r="N49" s="8" t="s">
        <v>26</v>
      </c>
      <c r="O49" s="4" t="s">
        <v>381</v>
      </c>
      <c r="P49" s="2" t="s">
        <v>28</v>
      </c>
    </row>
    <row r="50" ht="15.75" customHeight="1">
      <c r="A50" s="9" t="s">
        <v>382</v>
      </c>
      <c r="B50" s="3" t="s">
        <v>17</v>
      </c>
      <c r="C50" s="10" t="s">
        <v>383</v>
      </c>
      <c r="D50" s="11" t="s">
        <v>31</v>
      </c>
      <c r="E50" s="11" t="s">
        <v>32</v>
      </c>
      <c r="F50" s="10" t="s">
        <v>86</v>
      </c>
      <c r="G50" s="10" t="s">
        <v>87</v>
      </c>
      <c r="H50" s="9" t="s">
        <v>35</v>
      </c>
      <c r="I50" s="10" t="s">
        <v>68</v>
      </c>
      <c r="J50" s="6">
        <v>10.0</v>
      </c>
      <c r="K50" s="7" t="s">
        <v>384</v>
      </c>
      <c r="L50" s="8" t="s">
        <v>385</v>
      </c>
      <c r="M50" s="8" t="s">
        <v>386</v>
      </c>
      <c r="N50" s="8" t="s">
        <v>26</v>
      </c>
      <c r="O50" s="10" t="s">
        <v>387</v>
      </c>
      <c r="P50" s="9" t="s">
        <v>28</v>
      </c>
    </row>
    <row r="51" ht="15.75" customHeight="1">
      <c r="A51" s="9" t="s">
        <v>388</v>
      </c>
      <c r="B51" s="3" t="s">
        <v>17</v>
      </c>
      <c r="C51" s="10" t="s">
        <v>389</v>
      </c>
      <c r="D51" s="11" t="s">
        <v>390</v>
      </c>
      <c r="E51" s="11" t="s">
        <v>391</v>
      </c>
      <c r="F51" s="10" t="s">
        <v>96</v>
      </c>
      <c r="G51" s="10" t="s">
        <v>34</v>
      </c>
      <c r="H51" s="9" t="s">
        <v>35</v>
      </c>
      <c r="I51" s="10" t="s">
        <v>68</v>
      </c>
      <c r="J51" s="6">
        <v>4.0</v>
      </c>
      <c r="K51" s="7" t="s">
        <v>392</v>
      </c>
      <c r="L51" s="8" t="s">
        <v>393</v>
      </c>
      <c r="M51" s="8" t="s">
        <v>394</v>
      </c>
      <c r="N51" s="8" t="s">
        <v>26</v>
      </c>
      <c r="O51" s="10" t="s">
        <v>395</v>
      </c>
      <c r="P51" s="9" t="s">
        <v>28</v>
      </c>
    </row>
    <row r="52" ht="15.75" customHeight="1">
      <c r="A52" s="2" t="s">
        <v>396</v>
      </c>
      <c r="B52" s="3" t="s">
        <v>17</v>
      </c>
      <c r="C52" s="4" t="s">
        <v>397</v>
      </c>
      <c r="D52" s="5"/>
      <c r="E52" s="5"/>
      <c r="F52" s="4" t="s">
        <v>21</v>
      </c>
      <c r="G52" s="4" t="s">
        <v>87</v>
      </c>
      <c r="H52" s="2" t="s">
        <v>35</v>
      </c>
      <c r="I52" s="4" t="s">
        <v>398</v>
      </c>
      <c r="J52" s="6">
        <v>2.0</v>
      </c>
      <c r="K52" s="7" t="s">
        <v>399</v>
      </c>
      <c r="L52" s="8" t="s">
        <v>400</v>
      </c>
      <c r="M52" s="8" t="s">
        <v>401</v>
      </c>
      <c r="N52" s="8" t="s">
        <v>26</v>
      </c>
      <c r="O52" s="4" t="s">
        <v>402</v>
      </c>
      <c r="P52" s="2" t="s">
        <v>28</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20.0"/>
    <col customWidth="1" min="3" max="26" width="8.71"/>
  </cols>
  <sheetData>
    <row r="1" ht="36.0" customHeight="1">
      <c r="A1" s="1" t="s">
        <v>403</v>
      </c>
      <c r="B1" s="1" t="s">
        <v>404</v>
      </c>
    </row>
    <row r="2">
      <c r="A2" s="6" t="s">
        <v>405</v>
      </c>
      <c r="B2" s="6">
        <v>8.0</v>
      </c>
    </row>
    <row r="3">
      <c r="A3" s="6" t="s">
        <v>406</v>
      </c>
      <c r="B3" s="6">
        <v>7.0</v>
      </c>
    </row>
    <row r="4">
      <c r="A4" s="6" t="s">
        <v>407</v>
      </c>
      <c r="B4" s="6">
        <v>6.0</v>
      </c>
    </row>
    <row r="5">
      <c r="A5" s="6" t="s">
        <v>408</v>
      </c>
      <c r="B5" s="6">
        <v>6.0</v>
      </c>
    </row>
    <row r="6">
      <c r="A6" s="6" t="s">
        <v>409</v>
      </c>
      <c r="B6" s="6">
        <v>6.0</v>
      </c>
    </row>
    <row r="7">
      <c r="A7" s="6" t="s">
        <v>410</v>
      </c>
      <c r="B7" s="6">
        <v>4.0</v>
      </c>
    </row>
    <row r="8">
      <c r="A8" s="6" t="s">
        <v>411</v>
      </c>
      <c r="B8" s="6">
        <v>4.0</v>
      </c>
    </row>
    <row r="9">
      <c r="A9" s="6" t="s">
        <v>412</v>
      </c>
      <c r="B9" s="6">
        <v>4.0</v>
      </c>
    </row>
    <row r="10">
      <c r="A10" s="6" t="s">
        <v>413</v>
      </c>
      <c r="B10" s="6">
        <v>3.0</v>
      </c>
    </row>
    <row r="11">
      <c r="A11" s="9" t="s">
        <v>414</v>
      </c>
      <c r="B11" s="9">
        <v>2.0</v>
      </c>
    </row>
    <row r="12">
      <c r="A12" s="2" t="s">
        <v>415</v>
      </c>
      <c r="B12" s="2">
        <v>2.0</v>
      </c>
    </row>
    <row r="13">
      <c r="A13" s="9" t="s">
        <v>416</v>
      </c>
      <c r="B13" s="9">
        <v>2.0</v>
      </c>
    </row>
    <row r="14">
      <c r="A14" s="2" t="s">
        <v>417</v>
      </c>
      <c r="B14" s="2">
        <v>2.0</v>
      </c>
    </row>
    <row r="15">
      <c r="A15" s="9" t="s">
        <v>418</v>
      </c>
      <c r="B15" s="9">
        <v>2.0</v>
      </c>
    </row>
    <row r="16">
      <c r="A16" s="2" t="s">
        <v>419</v>
      </c>
      <c r="B16" s="2">
        <v>2.0</v>
      </c>
    </row>
    <row r="17">
      <c r="A17" s="9" t="s">
        <v>89</v>
      </c>
      <c r="B17" s="9">
        <v>1.0</v>
      </c>
    </row>
    <row r="18">
      <c r="A18" s="2" t="s">
        <v>420</v>
      </c>
      <c r="B18" s="2">
        <v>1.0</v>
      </c>
    </row>
    <row r="19">
      <c r="A19" s="9" t="s">
        <v>421</v>
      </c>
      <c r="B19" s="9">
        <v>1.0</v>
      </c>
    </row>
    <row r="20">
      <c r="A20" s="2" t="s">
        <v>422</v>
      </c>
      <c r="B20" s="2">
        <v>1.0</v>
      </c>
    </row>
    <row r="21" ht="15.75" customHeight="1">
      <c r="A21" s="9" t="s">
        <v>423</v>
      </c>
      <c r="B21" s="9">
        <v>1.0</v>
      </c>
    </row>
    <row r="22" ht="15.75" customHeight="1">
      <c r="A22" s="2" t="s">
        <v>424</v>
      </c>
      <c r="B22" s="2">
        <v>1.0</v>
      </c>
    </row>
    <row r="23" ht="15.75" customHeight="1">
      <c r="A23" s="9" t="s">
        <v>425</v>
      </c>
      <c r="B23" s="9">
        <v>1.0</v>
      </c>
    </row>
    <row r="24" ht="15.75" customHeight="1">
      <c r="A24" s="2" t="s">
        <v>426</v>
      </c>
      <c r="B24" s="2">
        <v>1.0</v>
      </c>
    </row>
    <row r="25" ht="15.75" customHeight="1">
      <c r="A25" s="9" t="s">
        <v>272</v>
      </c>
      <c r="B25" s="9">
        <v>1.0</v>
      </c>
    </row>
    <row r="26" ht="15.75" customHeight="1">
      <c r="A26" s="2" t="s">
        <v>427</v>
      </c>
      <c r="B26" s="2">
        <v>1.0</v>
      </c>
    </row>
    <row r="27" ht="15.75" customHeight="1">
      <c r="A27" s="9" t="s">
        <v>300</v>
      </c>
      <c r="B27" s="9">
        <v>1.0</v>
      </c>
    </row>
    <row r="28" ht="15.75" customHeight="1">
      <c r="A28" s="2" t="s">
        <v>315</v>
      </c>
      <c r="B28" s="2">
        <v>1.0</v>
      </c>
    </row>
    <row r="29" ht="15.75" customHeight="1">
      <c r="A29" s="9" t="s">
        <v>428</v>
      </c>
      <c r="B29" s="9">
        <v>1.0</v>
      </c>
    </row>
    <row r="30" ht="15.75" customHeight="1">
      <c r="A30" s="2" t="s">
        <v>429</v>
      </c>
      <c r="B30" s="2">
        <v>1.0</v>
      </c>
    </row>
    <row r="31" ht="15.75" customHeight="1">
      <c r="A31" s="9" t="s">
        <v>308</v>
      </c>
      <c r="B31" s="9">
        <v>1.0</v>
      </c>
    </row>
    <row r="32" ht="15.75" customHeight="1">
      <c r="A32" s="2" t="s">
        <v>430</v>
      </c>
      <c r="B32" s="2">
        <v>1.0</v>
      </c>
    </row>
    <row r="33" ht="15.75" customHeight="1">
      <c r="A33" s="9" t="s">
        <v>265</v>
      </c>
      <c r="B33" s="9">
        <v>1.0</v>
      </c>
    </row>
    <row r="34" ht="15.75" customHeight="1">
      <c r="A34" s="2" t="s">
        <v>431</v>
      </c>
      <c r="B34" s="2">
        <v>1.0</v>
      </c>
    </row>
    <row r="35" ht="15.75" customHeight="1">
      <c r="A35" s="9" t="s">
        <v>385</v>
      </c>
      <c r="B35" s="9">
        <v>1.0</v>
      </c>
    </row>
    <row r="36" ht="15.75" customHeight="1">
      <c r="A36" s="2" t="s">
        <v>432</v>
      </c>
      <c r="B36" s="2">
        <v>1.0</v>
      </c>
    </row>
    <row r="37" ht="15.75" customHeight="1">
      <c r="A37" s="9" t="s">
        <v>433</v>
      </c>
      <c r="B37" s="9">
        <v>1.0</v>
      </c>
    </row>
    <row r="38" ht="15.75" customHeight="1">
      <c r="A38" s="2" t="s">
        <v>434</v>
      </c>
      <c r="B38" s="2">
        <v>1.0</v>
      </c>
    </row>
    <row r="39" ht="15.75" customHeight="1">
      <c r="A39" s="9" t="s">
        <v>435</v>
      </c>
      <c r="B39" s="9">
        <v>1.0</v>
      </c>
    </row>
    <row r="40" ht="15.75" customHeight="1">
      <c r="A40" s="2" t="s">
        <v>436</v>
      </c>
      <c r="B40" s="2">
        <v>1.0</v>
      </c>
    </row>
    <row r="41" ht="15.75" customHeight="1">
      <c r="A41" s="9" t="s">
        <v>437</v>
      </c>
      <c r="B41" s="9">
        <v>1.0</v>
      </c>
    </row>
    <row r="42" ht="15.75" customHeight="1">
      <c r="A42" s="2" t="s">
        <v>438</v>
      </c>
      <c r="B42" s="2">
        <v>1.0</v>
      </c>
    </row>
    <row r="43" ht="15.75" customHeight="1">
      <c r="A43" s="9" t="s">
        <v>439</v>
      </c>
      <c r="B43" s="9">
        <v>1.0</v>
      </c>
    </row>
    <row r="44" ht="15.75" customHeight="1">
      <c r="A44" s="2" t="s">
        <v>440</v>
      </c>
      <c r="B44" s="2">
        <v>1.0</v>
      </c>
    </row>
    <row r="45" ht="15.75" customHeight="1">
      <c r="A45" s="9" t="s">
        <v>441</v>
      </c>
      <c r="B45" s="9">
        <v>1.0</v>
      </c>
    </row>
    <row r="46" ht="15.75" customHeight="1">
      <c r="A46" s="2" t="s">
        <v>442</v>
      </c>
      <c r="B46" s="2">
        <v>1.0</v>
      </c>
    </row>
    <row r="47" ht="15.75" customHeight="1">
      <c r="A47" s="9" t="s">
        <v>443</v>
      </c>
      <c r="B47" s="9">
        <v>1.0</v>
      </c>
    </row>
    <row r="48" ht="15.75" customHeight="1">
      <c r="A48" s="2" t="s">
        <v>38</v>
      </c>
      <c r="B48" s="2">
        <v>1.0</v>
      </c>
    </row>
    <row r="49" ht="15.75" customHeight="1">
      <c r="A49" s="9" t="s">
        <v>121</v>
      </c>
      <c r="B49" s="9">
        <v>1.0</v>
      </c>
    </row>
    <row r="50" ht="15.75" customHeight="1">
      <c r="A50" s="2" t="s">
        <v>99</v>
      </c>
      <c r="B50" s="2">
        <v>1.0</v>
      </c>
    </row>
    <row r="51" ht="15.75" customHeight="1">
      <c r="A51" s="9" t="s">
        <v>444</v>
      </c>
      <c r="B51" s="9">
        <v>1.0</v>
      </c>
    </row>
    <row r="52" ht="15.75" customHeight="1">
      <c r="A52" s="2" t="s">
        <v>445</v>
      </c>
      <c r="B52" s="2">
        <v>1.0</v>
      </c>
    </row>
    <row r="53" ht="15.75" customHeight="1">
      <c r="A53" s="9" t="s">
        <v>166</v>
      </c>
      <c r="B53" s="9">
        <v>1.0</v>
      </c>
    </row>
    <row r="54" ht="15.75" customHeight="1">
      <c r="A54" s="2" t="s">
        <v>129</v>
      </c>
      <c r="B54" s="2">
        <v>1.0</v>
      </c>
    </row>
    <row r="55" ht="15.75" customHeight="1">
      <c r="A55" s="9" t="s">
        <v>160</v>
      </c>
      <c r="B55" s="9">
        <v>1.0</v>
      </c>
    </row>
    <row r="56" ht="15.75" customHeight="1">
      <c r="A56" s="2" t="s">
        <v>243</v>
      </c>
      <c r="B56" s="2">
        <v>1.0</v>
      </c>
    </row>
    <row r="57" ht="15.75" customHeight="1">
      <c r="A57" s="9" t="s">
        <v>224</v>
      </c>
      <c r="B57" s="9">
        <v>1.0</v>
      </c>
    </row>
    <row r="58" ht="15.75" customHeight="1">
      <c r="A58" s="2" t="s">
        <v>259</v>
      </c>
      <c r="B58" s="2">
        <v>1.0</v>
      </c>
    </row>
    <row r="59" ht="15.75" customHeight="1">
      <c r="A59" s="9" t="s">
        <v>280</v>
      </c>
      <c r="B59" s="9">
        <v>1.0</v>
      </c>
    </row>
    <row r="60" ht="15.75" customHeight="1">
      <c r="A60" s="2" t="s">
        <v>446</v>
      </c>
      <c r="B60" s="2">
        <v>1.0</v>
      </c>
    </row>
    <row r="61" ht="15.75" customHeight="1">
      <c r="A61" s="9" t="s">
        <v>292</v>
      </c>
      <c r="B61" s="9">
        <v>1.0</v>
      </c>
    </row>
    <row r="62" ht="15.75" customHeight="1">
      <c r="A62" s="2" t="s">
        <v>333</v>
      </c>
      <c r="B62" s="2">
        <v>1.0</v>
      </c>
    </row>
    <row r="63" ht="15.75" customHeight="1">
      <c r="A63" s="9" t="s">
        <v>393</v>
      </c>
      <c r="B63" s="9">
        <v>1.0</v>
      </c>
    </row>
    <row r="64" ht="15.75" customHeight="1">
      <c r="A64" s="2" t="s">
        <v>379</v>
      </c>
      <c r="B64" s="2">
        <v>1.0</v>
      </c>
    </row>
    <row r="65" ht="15.75" customHeight="1">
      <c r="A65" s="9" t="s">
        <v>447</v>
      </c>
      <c r="B65" s="9">
        <v>1.0</v>
      </c>
    </row>
    <row r="66" ht="15.75" customHeight="1">
      <c r="A66" s="2" t="s">
        <v>400</v>
      </c>
      <c r="B66" s="2">
        <v>1.0</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6.0"/>
    <col customWidth="1" min="3" max="26" width="8.71"/>
  </cols>
  <sheetData>
    <row r="1">
      <c r="A1" s="13" t="s">
        <v>448</v>
      </c>
      <c r="B1" s="14"/>
      <c r="C1" s="15"/>
    </row>
    <row r="3">
      <c r="A3" s="16" t="s">
        <v>1</v>
      </c>
      <c r="B3" s="16" t="s">
        <v>449</v>
      </c>
    </row>
    <row r="4">
      <c r="A4" s="3" t="s">
        <v>17</v>
      </c>
      <c r="B4" s="3">
        <v>51.0</v>
      </c>
    </row>
    <row r="6">
      <c r="A6" s="16" t="s">
        <v>450</v>
      </c>
      <c r="B6" s="16" t="s">
        <v>451</v>
      </c>
    </row>
    <row r="7">
      <c r="A7" s="9" t="s">
        <v>452</v>
      </c>
      <c r="B7" s="11">
        <f>COUNTA('AI + Web Search Data'!A2:A52)</f>
        <v>51</v>
      </c>
    </row>
    <row r="8">
      <c r="A8" s="2" t="s">
        <v>453</v>
      </c>
      <c r="B8" s="5">
        <f>COUNTIF('AI + Web Search Data'!J2:J52, "&gt;0")</f>
        <v>51</v>
      </c>
    </row>
    <row r="9">
      <c r="A9" s="9" t="s">
        <v>454</v>
      </c>
      <c r="B9" s="11">
        <f>SUM('AI + Web Search Data'!J2:J52)</f>
        <v>214</v>
      </c>
    </row>
    <row r="10">
      <c r="A10" s="2" t="s">
        <v>455</v>
      </c>
      <c r="B10" s="5">
        <v>197.0</v>
      </c>
    </row>
    <row r="11">
      <c r="A11" s="9" t="s">
        <v>456</v>
      </c>
      <c r="B11" s="11">
        <v>38.0</v>
      </c>
    </row>
    <row r="12">
      <c r="A12" s="2" t="s">
        <v>457</v>
      </c>
      <c r="B12" s="5">
        <f>ROUND(SUM('AI + Web Search Data'!J2:J52)/COUNTA('AI + Web Search Data'!A2:A52),1)</f>
        <v>4.2</v>
      </c>
    </row>
    <row r="13">
      <c r="A13" s="9" t="s">
        <v>458</v>
      </c>
      <c r="B13" s="11">
        <f>COUNTBLANK('AI + Web Search Data'!D2:D52)</f>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0"/>
    <col customWidth="1" min="3" max="26" width="8.71"/>
  </cols>
  <sheetData>
    <row r="1">
      <c r="A1" s="13" t="s">
        <v>459</v>
      </c>
      <c r="B1" s="15"/>
    </row>
    <row r="3" ht="72.0" customHeight="1">
      <c r="A3" s="5" t="s">
        <v>460</v>
      </c>
      <c r="B3" s="10" t="s">
        <v>461</v>
      </c>
    </row>
    <row r="4" ht="72.0" customHeight="1">
      <c r="A4" s="5" t="s">
        <v>462</v>
      </c>
      <c r="B4" s="10" t="s">
        <v>463</v>
      </c>
    </row>
    <row r="5" ht="72.0" customHeight="1">
      <c r="A5" s="5" t="s">
        <v>464</v>
      </c>
      <c r="B5" s="10" t="s">
        <v>465</v>
      </c>
    </row>
    <row r="6" ht="72.0" customHeight="1">
      <c r="A6" s="5" t="s">
        <v>466</v>
      </c>
      <c r="B6" s="10" t="s">
        <v>467</v>
      </c>
    </row>
    <row r="7" ht="72.0" customHeight="1">
      <c r="A7" s="5" t="s">
        <v>468</v>
      </c>
      <c r="B7" s="10" t="s">
        <v>469</v>
      </c>
    </row>
    <row r="8" ht="72.0" customHeight="1">
      <c r="A8" s="5" t="s">
        <v>470</v>
      </c>
      <c r="B8" s="10" t="s">
        <v>471</v>
      </c>
    </row>
    <row r="9" ht="72.0" customHeight="1">
      <c r="A9" s="5" t="s">
        <v>472</v>
      </c>
      <c r="B9" s="10" t="s">
        <v>473</v>
      </c>
    </row>
    <row r="10" ht="72.0" customHeight="1">
      <c r="A10" s="5" t="s">
        <v>474</v>
      </c>
      <c r="B10" s="10" t="s">
        <v>475</v>
      </c>
    </row>
    <row r="11" ht="72.0" customHeight="1">
      <c r="A11" s="5" t="s">
        <v>476</v>
      </c>
      <c r="B11" s="10" t="s">
        <v>477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34.0"/>
    <col customWidth="1" min="3" max="4" width="10.0"/>
    <col customWidth="1" min="5" max="5" width="22.0"/>
    <col customWidth="1" min="6" max="6" width="28.0"/>
    <col customWidth="1" min="7" max="7" width="20.0"/>
    <col customWidth="1" min="8" max="26" width="8.71"/>
  </cols>
  <sheetData>
    <row r="1">
      <c r="A1" s="17" t="s">
        <v>478</v>
      </c>
    </row>
    <row r="2" ht="42.0" customHeight="1">
      <c r="A2" s="18" t="s">
        <v>479</v>
      </c>
      <c r="B2" s="14"/>
      <c r="C2" s="14"/>
      <c r="D2" s="14"/>
      <c r="E2" s="14"/>
      <c r="F2" s="14"/>
      <c r="G2" s="15"/>
    </row>
    <row r="3" ht="27.75" customHeight="1">
      <c r="A3" s="18" t="s">
        <v>480</v>
      </c>
      <c r="B3" s="14"/>
      <c r="C3" s="14"/>
      <c r="D3" s="14"/>
      <c r="E3" s="14"/>
      <c r="F3" s="14"/>
      <c r="G3" s="15"/>
    </row>
    <row r="5">
      <c r="A5" s="19" t="s">
        <v>0</v>
      </c>
      <c r="B5" s="19" t="s">
        <v>481</v>
      </c>
      <c r="C5" s="19" t="s">
        <v>3</v>
      </c>
      <c r="D5" s="19" t="s">
        <v>4</v>
      </c>
      <c r="E5" s="19" t="s">
        <v>482</v>
      </c>
      <c r="F5" s="19" t="s">
        <v>483</v>
      </c>
      <c r="G5" s="19" t="s">
        <v>484</v>
      </c>
    </row>
    <row r="6">
      <c r="A6" s="20" t="s">
        <v>102</v>
      </c>
      <c r="B6" s="20" t="s">
        <v>485</v>
      </c>
      <c r="C6" s="20">
        <v>6.0</v>
      </c>
      <c r="D6" s="20">
        <v>17.17</v>
      </c>
      <c r="E6" s="20" t="s">
        <v>486</v>
      </c>
      <c r="F6" s="20"/>
      <c r="G6" s="20" t="s">
        <v>487</v>
      </c>
    </row>
    <row r="7">
      <c r="A7" s="20" t="s">
        <v>84</v>
      </c>
      <c r="B7" s="20" t="s">
        <v>488</v>
      </c>
      <c r="C7" s="20">
        <v>5.95</v>
      </c>
      <c r="D7" s="20">
        <v>16.09</v>
      </c>
      <c r="E7" s="20" t="s">
        <v>486</v>
      </c>
      <c r="F7" s="20"/>
      <c r="G7" s="20" t="s">
        <v>487</v>
      </c>
    </row>
    <row r="8">
      <c r="A8" s="20" t="s">
        <v>109</v>
      </c>
      <c r="B8" s="20" t="s">
        <v>489</v>
      </c>
      <c r="C8" s="20">
        <v>6.22</v>
      </c>
      <c r="D8" s="20">
        <v>18.87</v>
      </c>
      <c r="E8" s="20" t="s">
        <v>486</v>
      </c>
      <c r="F8" s="20"/>
      <c r="G8" s="20" t="s">
        <v>487</v>
      </c>
    </row>
    <row r="9">
      <c r="A9" s="20" t="s">
        <v>176</v>
      </c>
      <c r="B9" s="20" t="s">
        <v>490</v>
      </c>
      <c r="C9" s="20">
        <v>6.98</v>
      </c>
      <c r="D9" s="20">
        <v>40.99</v>
      </c>
      <c r="E9" s="20" t="s">
        <v>486</v>
      </c>
      <c r="F9" s="20"/>
      <c r="G9" s="20" t="s">
        <v>487</v>
      </c>
    </row>
    <row r="10">
      <c r="A10" s="20" t="s">
        <v>132</v>
      </c>
      <c r="B10" s="20" t="s">
        <v>491</v>
      </c>
      <c r="C10" s="20">
        <v>6.83</v>
      </c>
      <c r="D10" s="20">
        <v>18.9</v>
      </c>
      <c r="E10" s="20" t="s">
        <v>486</v>
      </c>
      <c r="F10" s="20"/>
      <c r="G10" s="20" t="s">
        <v>487</v>
      </c>
    </row>
    <row r="11">
      <c r="A11" s="20" t="s">
        <v>207</v>
      </c>
      <c r="B11" s="20" t="s">
        <v>492</v>
      </c>
      <c r="C11" s="20">
        <v>7.63</v>
      </c>
      <c r="D11" s="20">
        <v>32.54</v>
      </c>
      <c r="E11" s="20" t="s">
        <v>486</v>
      </c>
      <c r="F11" s="20"/>
      <c r="G11" s="20" t="s">
        <v>487</v>
      </c>
    </row>
    <row r="12">
      <c r="A12" s="20" t="s">
        <v>234</v>
      </c>
      <c r="B12" s="20" t="s">
        <v>493</v>
      </c>
      <c r="C12" s="20">
        <v>4.59</v>
      </c>
      <c r="D12" s="20">
        <v>9.33</v>
      </c>
      <c r="E12" s="20" t="s">
        <v>486</v>
      </c>
      <c r="F12" s="20"/>
      <c r="G12" s="20" t="s">
        <v>487</v>
      </c>
    </row>
    <row r="13">
      <c r="A13" s="20" t="s">
        <v>198</v>
      </c>
      <c r="B13" s="20" t="s">
        <v>494</v>
      </c>
      <c r="C13" s="20">
        <v>9.71</v>
      </c>
      <c r="D13" s="20">
        <v>30.59</v>
      </c>
      <c r="E13" s="20" t="s">
        <v>486</v>
      </c>
      <c r="F13" s="20"/>
      <c r="G13" s="20" t="s">
        <v>487</v>
      </c>
    </row>
    <row r="14">
      <c r="A14" s="20" t="s">
        <v>268</v>
      </c>
      <c r="B14" s="20" t="s">
        <v>488</v>
      </c>
      <c r="C14" s="20">
        <v>5.95</v>
      </c>
      <c r="D14" s="20">
        <v>16.09</v>
      </c>
      <c r="E14" s="20" t="s">
        <v>486</v>
      </c>
      <c r="F14" s="20"/>
      <c r="G14" s="20" t="s">
        <v>487</v>
      </c>
    </row>
    <row r="15">
      <c r="A15" s="20" t="s">
        <v>246</v>
      </c>
      <c r="B15" s="20" t="s">
        <v>495</v>
      </c>
      <c r="C15" s="20">
        <v>7.09</v>
      </c>
      <c r="D15" s="20">
        <v>15.96</v>
      </c>
      <c r="E15" s="20" t="s">
        <v>486</v>
      </c>
      <c r="F15" s="20"/>
      <c r="G15" s="20" t="s">
        <v>487</v>
      </c>
    </row>
    <row r="16">
      <c r="A16" s="20" t="s">
        <v>295</v>
      </c>
      <c r="B16" s="20" t="s">
        <v>496</v>
      </c>
      <c r="C16" s="20">
        <v>6.9</v>
      </c>
      <c r="D16" s="20">
        <v>15.9</v>
      </c>
      <c r="E16" s="20" t="s">
        <v>486</v>
      </c>
      <c r="F16" s="20"/>
      <c r="G16" s="20" t="s">
        <v>487</v>
      </c>
    </row>
    <row r="17">
      <c r="A17" s="20" t="s">
        <v>311</v>
      </c>
      <c r="B17" s="20" t="s">
        <v>488</v>
      </c>
      <c r="C17" s="20">
        <v>5.95</v>
      </c>
      <c r="D17" s="20">
        <v>16.09</v>
      </c>
      <c r="E17" s="20" t="s">
        <v>486</v>
      </c>
      <c r="F17" s="20"/>
      <c r="G17" s="20" t="s">
        <v>487</v>
      </c>
    </row>
    <row r="18">
      <c r="A18" s="20" t="s">
        <v>282</v>
      </c>
      <c r="B18" s="20" t="s">
        <v>488</v>
      </c>
      <c r="C18" s="20">
        <v>5.95</v>
      </c>
      <c r="D18" s="20">
        <v>16.09</v>
      </c>
      <c r="E18" s="20" t="s">
        <v>486</v>
      </c>
      <c r="F18" s="20"/>
      <c r="G18" s="20" t="s">
        <v>487</v>
      </c>
    </row>
    <row r="19">
      <c r="A19" s="20" t="s">
        <v>303</v>
      </c>
      <c r="B19" s="20" t="s">
        <v>497</v>
      </c>
      <c r="C19" s="20">
        <v>5.95</v>
      </c>
      <c r="D19" s="20">
        <v>17.15</v>
      </c>
      <c r="E19" s="20" t="s">
        <v>486</v>
      </c>
      <c r="F19" s="20"/>
      <c r="G19" s="20" t="s">
        <v>487</v>
      </c>
    </row>
    <row r="20">
      <c r="A20" s="20" t="s">
        <v>318</v>
      </c>
      <c r="B20" s="20" t="s">
        <v>488</v>
      </c>
      <c r="C20" s="20">
        <v>5.95</v>
      </c>
      <c r="D20" s="20">
        <v>16.09</v>
      </c>
      <c r="E20" s="20" t="s">
        <v>486</v>
      </c>
      <c r="F20" s="20"/>
      <c r="G20" s="20" t="s">
        <v>487</v>
      </c>
    </row>
    <row r="21" ht="15.75" customHeight="1">
      <c r="A21" s="20" t="s">
        <v>350</v>
      </c>
      <c r="B21" s="20" t="s">
        <v>498</v>
      </c>
      <c r="C21" s="20">
        <v>6.25</v>
      </c>
      <c r="D21" s="20">
        <v>17.49</v>
      </c>
      <c r="E21" s="20" t="s">
        <v>486</v>
      </c>
      <c r="F21" s="20"/>
      <c r="G21" s="20" t="s">
        <v>487</v>
      </c>
    </row>
    <row r="22" ht="15.75" customHeight="1">
      <c r="A22" s="20" t="s">
        <v>336</v>
      </c>
      <c r="B22" s="20" t="s">
        <v>499</v>
      </c>
      <c r="C22" s="20">
        <v>8.87</v>
      </c>
      <c r="D22" s="20">
        <v>29.99</v>
      </c>
      <c r="E22" s="20" t="s">
        <v>486</v>
      </c>
      <c r="F22" s="20"/>
      <c r="G22" s="20" t="s">
        <v>487</v>
      </c>
    </row>
    <row r="23" ht="15.75" customHeight="1">
      <c r="A23" s="20" t="s">
        <v>342</v>
      </c>
      <c r="B23" s="20" t="s">
        <v>500</v>
      </c>
      <c r="C23" s="20">
        <v>6.28</v>
      </c>
      <c r="D23" s="20">
        <v>10.32</v>
      </c>
      <c r="E23" s="20" t="s">
        <v>486</v>
      </c>
      <c r="F23" s="20"/>
      <c r="G23" s="20" t="s">
        <v>487</v>
      </c>
    </row>
    <row r="24" ht="15.75" customHeight="1">
      <c r="A24" s="20" t="s">
        <v>262</v>
      </c>
      <c r="B24" s="20" t="s">
        <v>488</v>
      </c>
      <c r="C24" s="20">
        <v>5.95</v>
      </c>
      <c r="D24" s="20">
        <v>16.09</v>
      </c>
      <c r="E24" s="20" t="s">
        <v>486</v>
      </c>
      <c r="F24" s="20"/>
      <c r="G24" s="20" t="s">
        <v>487</v>
      </c>
    </row>
    <row r="25" ht="15.75" customHeight="1">
      <c r="A25" s="20" t="s">
        <v>356</v>
      </c>
      <c r="B25" s="20" t="s">
        <v>501</v>
      </c>
      <c r="C25" s="20">
        <v>7.51</v>
      </c>
      <c r="D25" s="20">
        <v>28.58</v>
      </c>
      <c r="E25" s="20" t="s">
        <v>486</v>
      </c>
      <c r="F25" s="20"/>
      <c r="G25" s="20" t="s">
        <v>487</v>
      </c>
    </row>
    <row r="26" ht="15.75" customHeight="1">
      <c r="A26" s="20" t="s">
        <v>366</v>
      </c>
      <c r="B26" s="20" t="s">
        <v>501</v>
      </c>
      <c r="C26" s="20">
        <v>7.51</v>
      </c>
      <c r="D26" s="20">
        <v>28.58</v>
      </c>
      <c r="E26" s="20" t="s">
        <v>486</v>
      </c>
      <c r="F26" s="20"/>
      <c r="G26" s="20" t="s">
        <v>487</v>
      </c>
    </row>
    <row r="27" ht="15.75" customHeight="1">
      <c r="A27" s="20" t="s">
        <v>382</v>
      </c>
      <c r="B27" s="20" t="s">
        <v>488</v>
      </c>
      <c r="C27" s="20">
        <v>5.95</v>
      </c>
      <c r="D27" s="20">
        <v>16.09</v>
      </c>
      <c r="E27" s="20" t="s">
        <v>486</v>
      </c>
      <c r="F27" s="20"/>
      <c r="G27" s="20" t="s">
        <v>487</v>
      </c>
    </row>
    <row r="28" ht="15.75" customHeight="1">
      <c r="A28" s="20" t="s">
        <v>16</v>
      </c>
      <c r="B28" s="20" t="s">
        <v>502</v>
      </c>
      <c r="C28" s="20">
        <v>11.15</v>
      </c>
      <c r="D28" s="20">
        <v>29.5</v>
      </c>
      <c r="E28" s="20" t="s">
        <v>486</v>
      </c>
      <c r="F28" s="20"/>
      <c r="G28" s="20" t="s">
        <v>487</v>
      </c>
    </row>
    <row r="29" ht="15.75" customHeight="1">
      <c r="A29" s="20" t="s">
        <v>61</v>
      </c>
      <c r="B29" s="20" t="s">
        <v>503</v>
      </c>
      <c r="C29" s="20">
        <v>14.82</v>
      </c>
      <c r="D29" s="20">
        <v>29.27</v>
      </c>
      <c r="E29" s="20" t="s">
        <v>486</v>
      </c>
      <c r="F29" s="20"/>
      <c r="G29" s="20" t="s">
        <v>487</v>
      </c>
    </row>
    <row r="30" ht="15.75" customHeight="1">
      <c r="A30" s="20" t="s">
        <v>41</v>
      </c>
      <c r="B30" s="20" t="s">
        <v>504</v>
      </c>
      <c r="C30" s="20">
        <v>22.8</v>
      </c>
      <c r="D30" s="20">
        <v>22.8</v>
      </c>
      <c r="E30" s="20" t="s">
        <v>486</v>
      </c>
      <c r="F30" s="20"/>
      <c r="G30" s="20" t="s">
        <v>487</v>
      </c>
    </row>
    <row r="31" ht="15.75" customHeight="1">
      <c r="A31" s="20" t="s">
        <v>51</v>
      </c>
      <c r="B31" s="20" t="s">
        <v>505</v>
      </c>
      <c r="C31" s="20">
        <v>7.6</v>
      </c>
      <c r="D31" s="20">
        <v>30.0</v>
      </c>
      <c r="E31" s="20" t="s">
        <v>486</v>
      </c>
      <c r="F31" s="20"/>
      <c r="G31" s="20" t="s">
        <v>487</v>
      </c>
    </row>
    <row r="32" ht="15.75" customHeight="1">
      <c r="A32" s="20" t="s">
        <v>169</v>
      </c>
      <c r="B32" s="20" t="s">
        <v>171</v>
      </c>
      <c r="C32" s="20"/>
      <c r="D32" s="20"/>
      <c r="E32" s="20" t="s">
        <v>486</v>
      </c>
      <c r="F32" s="20"/>
      <c r="G32" s="20" t="s">
        <v>506</v>
      </c>
    </row>
    <row r="33" ht="15.75" customHeight="1">
      <c r="A33" s="20" t="s">
        <v>29</v>
      </c>
      <c r="B33" s="20" t="s">
        <v>488</v>
      </c>
      <c r="C33" s="20">
        <v>5.95</v>
      </c>
      <c r="D33" s="20">
        <v>16.09</v>
      </c>
      <c r="E33" s="20" t="s">
        <v>486</v>
      </c>
      <c r="F33" s="20"/>
      <c r="G33" s="20" t="s">
        <v>487</v>
      </c>
    </row>
    <row r="34" ht="15.75" customHeight="1">
      <c r="A34" s="20" t="s">
        <v>142</v>
      </c>
      <c r="B34" s="20" t="s">
        <v>491</v>
      </c>
      <c r="C34" s="20">
        <v>6.83</v>
      </c>
      <c r="D34" s="20">
        <v>18.9</v>
      </c>
      <c r="E34" s="20" t="s">
        <v>486</v>
      </c>
      <c r="F34" s="20"/>
      <c r="G34" s="20" t="s">
        <v>487</v>
      </c>
    </row>
    <row r="35" ht="15.75" customHeight="1">
      <c r="A35" s="20" t="s">
        <v>115</v>
      </c>
      <c r="B35" s="20" t="s">
        <v>488</v>
      </c>
      <c r="C35" s="20">
        <v>5.95</v>
      </c>
      <c r="D35" s="20">
        <v>16.09</v>
      </c>
      <c r="E35" s="20" t="s">
        <v>486</v>
      </c>
      <c r="F35" s="20"/>
      <c r="G35" s="20" t="s">
        <v>487</v>
      </c>
    </row>
    <row r="36" ht="15.75" customHeight="1">
      <c r="A36" s="20" t="s">
        <v>92</v>
      </c>
      <c r="B36" s="20" t="s">
        <v>507</v>
      </c>
      <c r="C36" s="20">
        <v>6.2</v>
      </c>
      <c r="D36" s="20">
        <v>16.34</v>
      </c>
      <c r="E36" s="20" t="s">
        <v>486</v>
      </c>
      <c r="F36" s="20"/>
      <c r="G36" s="20" t="s">
        <v>487</v>
      </c>
    </row>
    <row r="37" ht="15.75" customHeight="1">
      <c r="A37" s="20" t="s">
        <v>149</v>
      </c>
      <c r="B37" s="20" t="s">
        <v>488</v>
      </c>
      <c r="C37" s="20">
        <v>5.95</v>
      </c>
      <c r="D37" s="20">
        <v>16.09</v>
      </c>
      <c r="E37" s="20" t="s">
        <v>486</v>
      </c>
      <c r="F37" s="20"/>
      <c r="G37" s="20" t="s">
        <v>487</v>
      </c>
    </row>
    <row r="38" ht="15.75" customHeight="1">
      <c r="A38" s="20" t="s">
        <v>191</v>
      </c>
      <c r="B38" s="20" t="s">
        <v>508</v>
      </c>
      <c r="C38" s="20"/>
      <c r="D38" s="20"/>
      <c r="E38" s="20" t="s">
        <v>486</v>
      </c>
      <c r="F38" s="20"/>
      <c r="G38" s="20" t="s">
        <v>506</v>
      </c>
    </row>
    <row r="39" ht="15.75" customHeight="1">
      <c r="A39" s="20" t="s">
        <v>163</v>
      </c>
      <c r="B39" s="20" t="s">
        <v>488</v>
      </c>
      <c r="C39" s="20">
        <v>5.95</v>
      </c>
      <c r="D39" s="20">
        <v>16.09</v>
      </c>
      <c r="E39" s="20" t="s">
        <v>486</v>
      </c>
      <c r="F39" s="20"/>
      <c r="G39" s="20" t="s">
        <v>487</v>
      </c>
    </row>
    <row r="40" ht="15.75" customHeight="1">
      <c r="A40" s="20" t="s">
        <v>124</v>
      </c>
      <c r="B40" s="20" t="s">
        <v>509</v>
      </c>
      <c r="C40" s="20">
        <v>6.37</v>
      </c>
      <c r="D40" s="20">
        <v>16.51</v>
      </c>
      <c r="E40" s="20" t="s">
        <v>510</v>
      </c>
      <c r="F40" s="20" t="s">
        <v>511</v>
      </c>
      <c r="G40" s="20" t="s">
        <v>512</v>
      </c>
    </row>
    <row r="41" ht="15.75" customHeight="1">
      <c r="A41" s="20" t="s">
        <v>215</v>
      </c>
      <c r="B41" s="20" t="s">
        <v>513</v>
      </c>
      <c r="C41" s="20">
        <v>6.34</v>
      </c>
      <c r="D41" s="20">
        <v>15.84</v>
      </c>
      <c r="E41" s="20" t="s">
        <v>486</v>
      </c>
      <c r="F41" s="20"/>
      <c r="G41" s="20" t="s">
        <v>487</v>
      </c>
    </row>
    <row r="42" ht="15.75" customHeight="1">
      <c r="A42" s="20" t="s">
        <v>154</v>
      </c>
      <c r="B42" s="20" t="s">
        <v>514</v>
      </c>
      <c r="C42" s="20">
        <v>6.15</v>
      </c>
      <c r="D42" s="20">
        <v>14.85</v>
      </c>
      <c r="E42" s="20" t="s">
        <v>486</v>
      </c>
      <c r="F42" s="20"/>
      <c r="G42" s="20" t="s">
        <v>487</v>
      </c>
    </row>
    <row r="43" ht="15.75" customHeight="1">
      <c r="A43" s="20" t="s">
        <v>240</v>
      </c>
      <c r="B43" s="20" t="s">
        <v>488</v>
      </c>
      <c r="C43" s="20">
        <v>5.95</v>
      </c>
      <c r="D43" s="20">
        <v>16.09</v>
      </c>
      <c r="E43" s="20" t="s">
        <v>486</v>
      </c>
      <c r="F43" s="20"/>
      <c r="G43" s="20" t="s">
        <v>487</v>
      </c>
    </row>
    <row r="44" ht="15.75" customHeight="1">
      <c r="A44" s="20" t="s">
        <v>221</v>
      </c>
      <c r="B44" s="20" t="s">
        <v>488</v>
      </c>
      <c r="C44" s="20">
        <v>5.95</v>
      </c>
      <c r="D44" s="20">
        <v>16.09</v>
      </c>
      <c r="E44" s="20" t="s">
        <v>486</v>
      </c>
      <c r="F44" s="20"/>
      <c r="G44" s="20" t="s">
        <v>487</v>
      </c>
    </row>
    <row r="45" ht="15.75" customHeight="1">
      <c r="A45" s="20" t="s">
        <v>253</v>
      </c>
      <c r="B45" s="20" t="s">
        <v>515</v>
      </c>
      <c r="C45" s="20">
        <v>5.2</v>
      </c>
      <c r="D45" s="20">
        <v>15.34</v>
      </c>
      <c r="E45" s="20" t="s">
        <v>486</v>
      </c>
      <c r="F45" s="20"/>
      <c r="G45" s="20" t="s">
        <v>487</v>
      </c>
    </row>
    <row r="46" ht="15.75" customHeight="1">
      <c r="A46" s="20" t="s">
        <v>275</v>
      </c>
      <c r="B46" s="20" t="s">
        <v>516</v>
      </c>
      <c r="C46" s="20">
        <v>6.4</v>
      </c>
      <c r="D46" s="20">
        <v>16.95</v>
      </c>
      <c r="E46" s="20" t="s">
        <v>486</v>
      </c>
      <c r="F46" s="20"/>
      <c r="G46" s="20" t="s">
        <v>487</v>
      </c>
    </row>
    <row r="47" ht="15.75" customHeight="1">
      <c r="A47" s="20" t="s">
        <v>322</v>
      </c>
      <c r="B47" s="20" t="s">
        <v>517</v>
      </c>
      <c r="C47" s="20">
        <v>5.39</v>
      </c>
      <c r="D47" s="20">
        <v>9.39</v>
      </c>
      <c r="E47" s="20" t="s">
        <v>486</v>
      </c>
      <c r="F47" s="20"/>
      <c r="G47" s="20" t="s">
        <v>487</v>
      </c>
    </row>
    <row r="48" ht="15.75" customHeight="1">
      <c r="A48" s="20" t="s">
        <v>372</v>
      </c>
      <c r="B48" s="20" t="s">
        <v>488</v>
      </c>
      <c r="C48" s="20">
        <v>5.95</v>
      </c>
      <c r="D48" s="20">
        <v>16.09</v>
      </c>
      <c r="E48" s="20" t="s">
        <v>486</v>
      </c>
      <c r="F48" s="20"/>
      <c r="G48" s="20" t="s">
        <v>487</v>
      </c>
    </row>
    <row r="49" ht="15.75" customHeight="1">
      <c r="A49" s="20" t="s">
        <v>289</v>
      </c>
      <c r="B49" s="20" t="s">
        <v>306</v>
      </c>
      <c r="C49" s="20"/>
      <c r="D49" s="20"/>
      <c r="E49" s="20" t="s">
        <v>486</v>
      </c>
      <c r="F49" s="20"/>
      <c r="G49" s="20" t="s">
        <v>506</v>
      </c>
    </row>
    <row r="50" ht="15.75" customHeight="1">
      <c r="A50" s="20" t="s">
        <v>330</v>
      </c>
      <c r="B50" s="20" t="s">
        <v>507</v>
      </c>
      <c r="C50" s="20">
        <v>6.2</v>
      </c>
      <c r="D50" s="20">
        <v>16.34</v>
      </c>
      <c r="E50" s="20" t="s">
        <v>510</v>
      </c>
      <c r="F50" s="20" t="s">
        <v>511</v>
      </c>
      <c r="G50" s="20" t="s">
        <v>512</v>
      </c>
    </row>
    <row r="51" ht="15.75" customHeight="1">
      <c r="A51" s="20" t="s">
        <v>388</v>
      </c>
      <c r="B51" s="20" t="s">
        <v>518</v>
      </c>
      <c r="C51" s="20">
        <v>6.18</v>
      </c>
      <c r="D51" s="20">
        <v>14.7</v>
      </c>
      <c r="E51" s="20" t="s">
        <v>486</v>
      </c>
      <c r="F51" s="20"/>
      <c r="G51" s="20" t="s">
        <v>487</v>
      </c>
    </row>
    <row r="52" ht="15.75" customHeight="1">
      <c r="A52" s="20" t="s">
        <v>376</v>
      </c>
      <c r="B52" s="20" t="s">
        <v>488</v>
      </c>
      <c r="C52" s="20">
        <v>5.95</v>
      </c>
      <c r="D52" s="20">
        <v>16.09</v>
      </c>
      <c r="E52" s="20" t="s">
        <v>486</v>
      </c>
      <c r="F52" s="20"/>
      <c r="G52" s="20" t="s">
        <v>487</v>
      </c>
    </row>
    <row r="53" ht="15.75" customHeight="1">
      <c r="A53" s="20" t="s">
        <v>73</v>
      </c>
      <c r="B53" s="20" t="s">
        <v>519</v>
      </c>
      <c r="C53" s="20">
        <v>9.82</v>
      </c>
      <c r="D53" s="20">
        <v>18.91</v>
      </c>
      <c r="E53" s="20" t="s">
        <v>486</v>
      </c>
      <c r="F53" s="20"/>
      <c r="G53" s="20" t="s">
        <v>487</v>
      </c>
    </row>
    <row r="54" ht="15.75" customHeight="1">
      <c r="A54" s="20" t="s">
        <v>185</v>
      </c>
      <c r="B54" s="20" t="s">
        <v>520</v>
      </c>
      <c r="C54" s="20">
        <v>5.24</v>
      </c>
      <c r="D54" s="20">
        <v>13.97</v>
      </c>
      <c r="E54" s="20" t="s">
        <v>486</v>
      </c>
      <c r="F54" s="20"/>
      <c r="G54" s="20" t="s">
        <v>487</v>
      </c>
    </row>
    <row r="55" ht="15.75" customHeight="1">
      <c r="A55" s="20" t="s">
        <v>227</v>
      </c>
      <c r="B55" s="20" t="s">
        <v>521</v>
      </c>
      <c r="C55" s="20">
        <v>6.63</v>
      </c>
      <c r="D55" s="20">
        <v>16.02</v>
      </c>
      <c r="E55" s="20" t="s">
        <v>486</v>
      </c>
      <c r="F55" s="20"/>
      <c r="G55" s="20" t="s">
        <v>487</v>
      </c>
    </row>
    <row r="56" ht="15.75" customHeight="1">
      <c r="A56" s="20" t="s">
        <v>396</v>
      </c>
      <c r="B56" s="20" t="s">
        <v>306</v>
      </c>
      <c r="C56" s="20"/>
      <c r="D56" s="20"/>
      <c r="E56" s="20" t="s">
        <v>486</v>
      </c>
      <c r="F56" s="20"/>
      <c r="G56" s="20" t="s">
        <v>506</v>
      </c>
    </row>
    <row r="57" ht="15.75" customHeight="1"/>
    <row r="58" ht="15.75" customHeight="1">
      <c r="A58" s="21" t="s">
        <v>522</v>
      </c>
    </row>
    <row r="59" ht="15.75" customHeight="1">
      <c r="A59" s="22" t="s">
        <v>510</v>
      </c>
      <c r="B59" s="22">
        <v>2.0</v>
      </c>
    </row>
    <row r="60" ht="15.75" customHeight="1">
      <c r="A60" s="22" t="s">
        <v>523</v>
      </c>
      <c r="B60" s="22">
        <v>0.0</v>
      </c>
    </row>
    <row r="61" ht="15.75" customHeight="1">
      <c r="A61" s="22" t="s">
        <v>524</v>
      </c>
      <c r="B61" s="22">
        <v>0.0</v>
      </c>
    </row>
    <row r="62" ht="15.75" customHeight="1">
      <c r="A62" s="22" t="s">
        <v>486</v>
      </c>
      <c r="B62" s="22">
        <v>49.0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3:G3"/>
  </mergeCells>
  <printOptions/>
  <pageMargins bottom="1.0" footer="0.0" header="0.0" left="0.75" right="0.75" top="1.0"/>
  <pageSetup orientation="landscape"/>
  <drawing r:id="rId1"/>
</worksheet>
</file>