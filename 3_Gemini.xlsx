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 Web Search Data" sheetId="1" r:id="rId5"/>
    <sheet state="visible" name="Citation Sources" sheetId="2" r:id="rId6"/>
    <sheet state="visible" name="Summary Stats" sheetId="3" r:id="rId7"/>
    <sheet state="visible" name="Methodology" sheetId="4" r:id="rId8"/>
    <sheet state="visible" name="APR Classification" sheetId="5" r:id="rId9"/>
  </sheets>
  <definedNames>
    <definedName hidden="1" localSheetId="0" name="_xlnm._FilterDatabase">'AI + Web Search Data'!$A$1:$P$1</definedName>
    <definedName hidden="1" localSheetId="1" name="_xlnm._FilterDatabase">'Citation Sources'!$A$1:$B$1</definedName>
  </definedNames>
  <calcPr/>
</workbook>
</file>

<file path=xl/sharedStrings.xml><?xml version="1.0" encoding="utf-8"?>
<sst xmlns="http://schemas.openxmlformats.org/spreadsheetml/2006/main" count="1077" uniqueCount="531">
  <si>
    <t>Bank</t>
  </si>
  <si>
    <t>Product Type</t>
  </si>
  <si>
    <t>Product Page URL</t>
  </si>
  <si>
    <t>Min APR</t>
  </si>
  <si>
    <t>Max APR</t>
  </si>
  <si>
    <t>Max Loan Amount</t>
  </si>
  <si>
    <t>Min Loan Amount</t>
  </si>
  <si>
    <t>Min Age</t>
  </si>
  <si>
    <t>Max Term</t>
  </si>
  <si>
    <t>Searches Run</t>
  </si>
  <si>
    <t>Search Queries
(EXPOSED by Gemini)</t>
  </si>
  <si>
    <t>Cited Domains
(shaped the answer)</t>
  </si>
  <si>
    <t>Cited Snippets</t>
  </si>
  <si>
    <t>All Result URLs
(returned by search engine)</t>
  </si>
  <si>
    <t>Notes</t>
  </si>
  <si>
    <t>Data Source</t>
  </si>
  <si>
    <t>Avida Finans AB</t>
  </si>
  <si>
    <t>consumer_loan</t>
  </si>
  <si>
    <t>https://www.avidafinans.se/privatlan/</t>
  </si>
  <si>
    <t>11.15%</t>
  </si>
  <si>
    <t>29.50%</t>
  </si>
  <si>
    <t>350000 SEK</t>
  </si>
  <si>
    <t>10000 SEK</t>
  </si>
  <si>
    <t>20</t>
  </si>
  <si>
    <t>15 years</t>
  </si>
  <si>
    <t>• Avida Finans AB privatlån
• Avida Finans AB consumer loan terms
• Avida Finans AB ränta privatlån
• Avida Finans AB villkor privatlån</t>
  </si>
  <si>
    <t>trygga.com
avidafinance.com
kreditkoll.nu
enklare.se
ordnabolan.se
finansvalp.se</t>
  </si>
  <si>
    <t>trygga.com
avidafinance.com
kreditkoll.nu
enklare.se
avidafinance.com
ordnabolan.se
finansvalp.se</t>
  </si>
  <si>
    <t>(Gemini exposes only opaque Vertex
redirect URIs, not source URLs.)</t>
  </si>
  <si>
    <t xml:space="preserve">The interest rate is set individually. To apply, you must be at least 20 years old and have no debts with Kronofogden. The loan is an annuity loan, meaning the same amount is paid each month. You can </t>
  </si>
  <si>
    <t>Google Gemini 2.5 Flash + google_search grounding</t>
  </si>
  <si>
    <t>Bjursås Sparbank</t>
  </si>
  <si>
    <t>https://www.bjursassparbank.se/lana-pengar/lana-till-allt/</t>
  </si>
  <si>
    <t>500000</t>
  </si>
  <si>
    <t>20000</t>
  </si>
  <si>
    <t>18</t>
  </si>
  <si>
    <t>12 years</t>
  </si>
  <si>
    <t>• Bjursås Sparbank privatlån
• Bjursås Sparbank konsumentlån ränta
• Bjursås Sparbank lån</t>
  </si>
  <si>
    <t>bjursassparbank.se</t>
  </si>
  <si>
    <t>bjursassparbank.se
bjursassparbank.se
bjursassparbank.se
bjursassparbank.se</t>
  </si>
  <si>
    <t>The nominal interest rate for Privatlån (personal loan) is variable and ranges from 5.95% to 16.09% (last interest rate change 2025-10-03), set individually based on the borrower's financial circumsta</t>
  </si>
  <si>
    <t>Brixo AB</t>
  </si>
  <si>
    <t>https://brixo.se/</t>
  </si>
  <si>
    <t>22.80%</t>
  </si>
  <si>
    <t>150000</t>
  </si>
  <si>
    <t>10000</t>
  </si>
  <si>
    <t>21</t>
  </si>
  <si>
    <t>• Brixo AB official website
• Brixo AB konsumentlån
• Brixo AB ränta
• Brixo AB lånevillkor</t>
  </si>
  <si>
    <t>brixo.se
xn--lnen-qoa.se
lendo.se
xn--blancoln-g0a.nu
xn--lnium-mra.com
konsumentguiden.se
bank.se
kreditkoll.nu
finansvalp.se</t>
  </si>
  <si>
    <t>brixo.se
xn--lnen-qoa.se
lendo.se
brixo.se
xn--blancoln-g0a.nu
xn--lnium-mra.com
konsumentguiden.se
bank.se
brixo.se
kreditkoll.nu
finansvalp.se
brixo.se</t>
  </si>
  <si>
    <t>Brixo AB offers 'Privatlån' (personal loans) and 'Kontokredit' (credit lines). For Privatlån, the nominal annual interest rate is 19.95%, and the effective annual percentage rate is 22.8% (based on an</t>
  </si>
  <si>
    <t>Brocc Finance AB</t>
  </si>
  <si>
    <t>https://brocc.se/lana</t>
  </si>
  <si>
    <t>4.95%</t>
  </si>
  <si>
    <t>21.95%</t>
  </si>
  <si>
    <t>400000 SEK</t>
  </si>
  <si>
    <t>25</t>
  </si>
  <si>
    <t>20 years</t>
  </si>
  <si>
    <t>• Brocc Finance AB privatlån
• Brocc Finance AB ränta villkor
• Brocc Finance AB consumer lending terms
• Brocc Finance AB official website</t>
  </si>
  <si>
    <t>mystep.se
brocc.se
sambla.se
konsumentguiden.se
trygga.com</t>
  </si>
  <si>
    <t xml:space="preserve">Brocc Finance AB offers privatlån (personal loans) without security. The interest rate is individual. To apply, you must be at least 25 years old, have no payment remarks (betalningsanmärkningar), be </t>
  </si>
  <si>
    <t>Credento Bank AB</t>
  </si>
  <si>
    <t>https://www.credento.se</t>
  </si>
  <si>
    <t>14.82%</t>
  </si>
  <si>
    <t>29.27%</t>
  </si>
  <si>
    <t>100000</t>
  </si>
  <si>
    <t>1000</t>
  </si>
  <si>
    <t>• Credento Bank AB official website
• Credento Bank AB konsumentlån
• Credento Bank AB effective annual percentage rate
• Credento Bank AB lånevillkor
• Credento Bank AB maxlånebelopp
• Credento Bank AB minsta lånebelopp
• Credento Bank AB lägsta ålder
• Credento Bank AB maximal återbetalningstid</t>
  </si>
  <si>
    <t>Credento is a brand offering private loans from TF Bank AB. There are no setup fees or invoice fees. Borrowers can utilize up to two payment-free months per calendar year after four consecutive succes</t>
  </si>
  <si>
    <t>Facit Bank Filial</t>
  </si>
  <si>
    <t>https://www.facitbank.se</t>
  </si>
  <si>
    <t>9.82%</t>
  </si>
  <si>
    <t>35.21%</t>
  </si>
  <si>
    <t>250000</t>
  </si>
  <si>
    <t>10 years</t>
  </si>
  <si>
    <t>• Facit Bank Filial konsumentlån
• Facit Bank Filial ränta
• Facit Bank Filial lånevillkor
• Facit Bank Filial privatlån</t>
  </si>
  <si>
    <t>facitbank.se
kreditkoll.nu
lendo.se
mystep.se
xn--lnen-qoa.se
kreditium.se
xn--svenskaprivatln-ulb.se</t>
  </si>
  <si>
    <t>Facit Bank Filial is a branch of the Danish bank Facit Bank A/S. They offer both consumer loans (konsumtionslån) up to 100,000 SEK and consolidation loans (samlingslån) up to 250,000 SEK. Credit check</t>
  </si>
  <si>
    <t>Falkenbergs Sparbank AB</t>
  </si>
  <si>
    <t>https://www.falkenbergssparbank.se/privat/lana-pengar/privatlan.html</t>
  </si>
  <si>
    <t>5.95%</t>
  </si>
  <si>
    <t>16.09%</t>
  </si>
  <si>
    <t>500000 SEK</t>
  </si>
  <si>
    <t>20000 SEK</t>
  </si>
  <si>
    <t>• Falkenbergs Sparbank AB privatlån
• Falkenbergs Sparbank AB lånevillkor privatlån
• Falkenbergs Sparbank räntor privatlån
• Falkenbergs Sparbank privatlån maxbelopp
• Falkenbergs Sparbank privatlån minsta belopp
• Falkenbergs Sparbank privatlån återbetalningstid
• Falkenbergs Sparbank privatlån villkor</t>
  </si>
  <si>
    <t>falkenbergssparbank.se</t>
  </si>
  <si>
    <t>falkenbergssparbank.se
falkenbergssparbank.se
falkenbergssparbank.se
falkenbergssparbank.se
falkenbergssparbank.se</t>
  </si>
  <si>
    <t xml:space="preserve">The interest rate is variable and set individually based on the borrower's financial conditions. An origination fee (uppläggningsavgift) of 300 SEK applies (0 SEK for 'Nyckelkund'). An administration </t>
  </si>
  <si>
    <t>Högsby Sparbank</t>
  </si>
  <si>
    <t>https://www.hogsbysparbank.se/privat/lana/lana-pengar/ansok-om-privatlan.html</t>
  </si>
  <si>
    <t>Not explicitly stated for general personal loans</t>
  </si>
  <si>
    <t>30 000 SEK</t>
  </si>
  <si>
    <t>5 years</t>
  </si>
  <si>
    <t>• Högsby Sparbank privatlån
• Högsby Sparbank konsumtionslån
• Högsby Sparbank lån ränta villkor</t>
  </si>
  <si>
    <t>hogsbysparbank.se</t>
  </si>
  <si>
    <t>hogsbysparbank.se
hogsbysparbank.se
hogsbysparbank.se</t>
  </si>
  <si>
    <t>The interest rate is variable and set individually based on economic circumstances. The nominal interest rate range (räntespann) is 6.20% - 16.34% (last changed 2025-10-22). An example effective annua</t>
  </si>
  <si>
    <t>ICA Banken AB</t>
  </si>
  <si>
    <t>https://www.icabanken.se/lana-pengar/privatlan/</t>
  </si>
  <si>
    <t>6.00%</t>
  </si>
  <si>
    <t>17.17%</t>
  </si>
  <si>
    <t>600000</t>
  </si>
  <si>
    <t>• ICA Banken privatlån
• ICA Banken lån villkor ränta
• ICA Banken lånebelopp ålder</t>
  </si>
  <si>
    <t>Applicants must have a fixed income of at least 240,000 SEK/year. No payment remarks (betalningsanmärkningar) allowed. Must be folkbokförd in Sweden. The interest rate is individual and set after a cr</t>
  </si>
  <si>
    <t>Ikano Bank AB</t>
  </si>
  <si>
    <t>https://www.ikanobank.se/lana-pengar/privatlan/</t>
  </si>
  <si>
    <t>6.93%</t>
  </si>
  <si>
    <t>20.81%</t>
  </si>
  <si>
    <t>350000</t>
  </si>
  <si>
    <t>• Ikano Bank AB privatlån
• Ikano Bank privatlån ränta
• Ikano Bank privatlån villkor
• Ikano Bank consumer loan</t>
  </si>
  <si>
    <t>ikanobank.se
trygga.com
ordnabolan.se
kreditkoll.nu
konsumentguiden.se</t>
  </si>
  <si>
    <t>ikanobank.se
ikanobank.se
ikanobank.se
trygga.com
ordnabolan.se
kreditkoll.nu
konsumentguiden.se</t>
  </si>
  <si>
    <t>Individual interest rate (nominal rate 6.22% - 18.87%). Minimum annual income of 180,000 SEK. No payment remarks allowed. Up-front fee of 495 SEK, paid on the first invoice. Monthly fee of 25 SEK if p</t>
  </si>
  <si>
    <t>Ivetofta Sparbank i Bromölla</t>
  </si>
  <si>
    <t>https://www.ivetoftasparbank.se/lana/lana-pengar/privatlan/</t>
  </si>
  <si>
    <t>200000</t>
  </si>
  <si>
    <t>8</t>
  </si>
  <si>
    <t>• Ivetofta Sparbank i Bromölla officiell webbplats
• Ivetofta Sparbank privatlån
• Ivetofta Sparbank konsumentkredit villkor
• Ivetofta Sparbank låneräntor
• Ivetofta Sparbank i Bromölla räntor privatlån
• Ivetofta Sparbank privatlån maxbelopp
• Ivetofta Sparbank privatlån längsta återbetalningstid
• Ivetofta Sparbank privatlån villkor
• Ivetofta Sparbank privatlån ränta</t>
  </si>
  <si>
    <t>ivetoftasparbank.se</t>
  </si>
  <si>
    <t>ivetoftasparbank.se
ivetoftasparbank.se
ivetoftasparbank.se
ivetoftasparbank.se</t>
  </si>
  <si>
    <t>Applicants must be customers of Ivetofta Sparbank i Bromölla. They must have a regular income, excluding benefits or student aid, and possess sufficient financial capacity to cover loan costs. No paym</t>
  </si>
  <si>
    <t>Laholms Sparbank</t>
  </si>
  <si>
    <t>https://www.laholmssparbank.se/privat/lana-pengar/lana-till-allt.html</t>
  </si>
  <si>
    <t>• Laholms Sparbank privatlån
• Laholms Sparbank låna pengar
• Laholms Sparbank lån villkor</t>
  </si>
  <si>
    <t>laholmssparbank.se</t>
  </si>
  <si>
    <t>laholmssparbank.se
laholmssparbank.se
laholmssparbank.se</t>
  </si>
  <si>
    <t>Borrower must be a customer of Laholms Sparbank. Borrower must have a regular income not derived from benefits or student aid, sufficient financial capacity to cover loan costs, and no payment remarks</t>
  </si>
  <si>
    <t>Länsförsäkringar Bank Aktiebolag</t>
  </si>
  <si>
    <t>https://www.lansforsakringar.se/privat/bank/lana-pengar/privatlan/</t>
  </si>
  <si>
    <t>6.83%</t>
  </si>
  <si>
    <t>18.90%</t>
  </si>
  <si>
    <t>400000</t>
  </si>
  <si>
    <t>30000</t>
  </si>
  <si>
    <t>• Länsförsäkringar Bank privatlån
• Länsförsäkringar Bank blancolån</t>
  </si>
  <si>
    <t>konsumentguiden.se
lansforsakringar.se</t>
  </si>
  <si>
    <t>konsumentguiden.se
lansforsakringar.se
lansforsakringar.se
lansforsakringar.se</t>
  </si>
  <si>
    <t>To apply for a private loan from Länsförsäkringar Bank, you must be at least 18 years old, have been a customer for at least 90 days, have a steady income, and possess good creditworthiness with no pa</t>
  </si>
  <si>
    <t>Länsförsäkringar Finans AB</t>
  </si>
  <si>
    <t>https://www.lansforsakringar.se/privat/bank/lana/privatlan/</t>
  </si>
  <si>
    <t>• Länsförsäkringar Finans AB privatlån
• Länsförsäkringar privatlån villkor
• Länsförsäkringar konsumentkredit ränta</t>
  </si>
  <si>
    <t>Must have a valid Mobile BankID. No payment remarks. Must have been folkbokförd in Sweden for at least three years. Must have a stable income from employment or pension. Interest rate is individual an</t>
  </si>
  <si>
    <t>Lekebergs Sparbank</t>
  </si>
  <si>
    <t>https://www.lekebergssparbank.se/privat/lana/lana-pengar/</t>
  </si>
  <si>
    <t>• Lekebergs Sparbank privatlån
• Lekebergs Sparbank räntor privatlån
• Lekebergs Sparbank konsumentkredit</t>
  </si>
  <si>
    <t>lekebergssparbank.se</t>
  </si>
  <si>
    <t>lekebergssparbank.se
lekebergssparbank.se
lekebergssparbank.se</t>
  </si>
  <si>
    <t>The interest rate is variable and set individually based on your financial circumstances. To be eligible, you must be at least 18 years old, have a regular income (not from benefits or student grants)</t>
  </si>
  <si>
    <t>Lönneberga-Tuna-Vena Sparbank</t>
  </si>
  <si>
    <t>https://www.ltvsparbank.se/privatlan</t>
  </si>
  <si>
    <t>6.15%</t>
  </si>
  <si>
    <t>14.85%</t>
  </si>
  <si>
    <t>• Lönneberga-Tuna-Vena Sparbank konsumtionslån
• Lönneberga-Tuna-Vena Sparbank privatlån
• Lönneberga-Tuna-Vena Sparbank räntor privatlån</t>
  </si>
  <si>
    <t>ltvsparbank.se</t>
  </si>
  <si>
    <t>ltvsparbank.se
ltvsparbank.se</t>
  </si>
  <si>
    <t>The interest rate is variable and set individually based on the borrower's financial situation. To be eligible, applicants must be at least 18 years old, have a regular income (not from benefits or st</t>
  </si>
  <si>
    <t>Markaryds Sparbank</t>
  </si>
  <si>
    <t>https://www.markarydssparbank.se/privat/lana/lana-pengar/</t>
  </si>
  <si>
    <t>12 år</t>
  </si>
  <si>
    <t>• Markaryds Sparbank konsumtionslån
• Markaryds Sparbank privatlån ränta
• Markaryds Sparbank lånevillkor
• Markaryds Sparbank official website</t>
  </si>
  <si>
    <t>markarydssparbank.se</t>
  </si>
  <si>
    <t>markarydssparbank.se
markarydssparbank.se
markarydssparbank.se
markarydssparbank.se</t>
  </si>
  <si>
    <t>The interest rate is variable and set individually based on your financial circumstances. For an example loan of 100,000 SEK with a 7.73% variable interest rate and a 5-year repayment period, the effe</t>
  </si>
  <si>
    <t>Moank AB</t>
  </si>
  <si>
    <t>unknown</t>
  </si>
  <si>
    <t>https://www.moank.se</t>
  </si>
  <si>
    <t>None</t>
  </si>
  <si>
    <t>• Moank AB konsumentlån
• Moank AB privatlån ränta
• Moank AB lånevillkor
• Moank AB effective annual percentage rate
• Moank AB loan terms</t>
  </si>
  <si>
    <t>moank.se
xn--lnen-qoa.se
mystep.se
sambla.se
enklare.se</t>
  </si>
  <si>
    <t xml:space="preserve">Moank AB is currently not offering consumer loans (privatlån) as they have chosen to focus on other ventures. This information is stated on their official website. Previously, Moank offered privatlån </t>
  </si>
  <si>
    <t>Morrow Bank AB</t>
  </si>
  <si>
    <t>https://www.morrowbank.se/privatlan/</t>
  </si>
  <si>
    <t>6.75%</t>
  </si>
  <si>
    <t>18.25%</t>
  </si>
  <si>
    <t>• Morrow Bank AB Sverige privatlån
• Morrow Bank AB privatlån ränta
• Morrow Bank AB lån villkor</t>
  </si>
  <si>
    <t>morrowbank.se
mystep.se
sambla.se
trygga.com
xn--lnea-qoa.se</t>
  </si>
  <si>
    <t>morrowbank.se
morrowbank.se
morrowbank.se
mystep.se
morrowbank.se
sambla.se
morrowbank.se
trygga.com
xn--lnea-qoa.se</t>
  </si>
  <si>
    <t>The stated APR range is the nominal interest rate (nominell ränta), which is set individually based on a credit assessment. The effective annual percentage rate (effektiv ränta) varies individually an</t>
  </si>
  <si>
    <t>Nordea Bank Abp, filial i Sverige</t>
  </si>
  <si>
    <t>https://www.nordea.se/privat/lan/privatlan.html</t>
  </si>
  <si>
    <t>5.24%</t>
  </si>
  <si>
    <t>13.97%</t>
  </si>
  <si>
    <t>• Nordea privatlån ränta
• Nordea lån utan säkerhet villkor
• Nordea konsumentkredit räntor
• Nordea Bank Abp, filial i Sverige consumer loan product page</t>
  </si>
  <si>
    <t>nordea.se
xn--svenskaprivatln-ulb.se
xn--lnlgrnta-4zafc.se
finansvalp.se
kreditkoll.nu</t>
  </si>
  <si>
    <t>nordea.se
xn--svenskaprivatln-ulb.se
xn--lnlgrnta-4zafc.se
finansvalp.se
nordea.se
kreditkoll.nu</t>
  </si>
  <si>
    <t xml:space="preserve">The effective annual percentage rate is individual and set based on a comprehensive assessment of the borrower's financial situation, including creditworthiness and banking engagement with Nordea. An </t>
  </si>
  <si>
    <t>Nordea Finans Sverige AB</t>
  </si>
  <si>
    <t>https://www.nordeafinans.se</t>
  </si>
  <si>
    <t>4.39%</t>
  </si>
  <si>
    <t>27.10%</t>
  </si>
  <si>
    <t>200000 SEK</t>
  </si>
  <si>
    <t>15000 SEK</t>
  </si>
  <si>
    <t>• Nordea Finans Sverige AB konsumentlån
• Nordea Finans privatlån
• Nordea Finans Sverige AB effektiva ränta
• Nordea Finans Sverige AB lånebelopp
• Nordea Finans Sverige AB privatlån direkt
• Nordea Finans Sverige AB konsumentkredit villkor</t>
  </si>
  <si>
    <t>xn--privatlnlistan-rib.se
konsumentguiden.se</t>
  </si>
  <si>
    <t xml:space="preserve">This information pertains to an unsecured consumer loan from Nordea Finans, also referred to as an 'e-lån', which is distinct from Nordea Bank's general 'Privatlån'. A dedicated official product page </t>
  </si>
  <si>
    <t>Northmill Bank AB</t>
  </si>
  <si>
    <t>https://www.northmill.com/se/privatlan/</t>
  </si>
  <si>
    <t>9.71%</t>
  </si>
  <si>
    <t>30.59%</t>
  </si>
  <si>
    <t>50000</t>
  </si>
  <si>
    <t>• Northmill Bank AB privatlån
• Northmill Bank AB lånevillkor
• Northmill Bank AB effektiv ränta
• Northmill Bank AB lån åldersgräns</t>
  </si>
  <si>
    <t>Interest rates are set individually after a credit assessment. Northmill Bank performs credit checks, with some sources indicating UC and others Creditsafe. They may accept applicants with payment rem</t>
  </si>
  <si>
    <t>Resurs Bank Aktiebolag</t>
  </si>
  <si>
    <t>https://www.resursbank.se/lana/privatlan</t>
  </si>
  <si>
    <t>5.99%</t>
  </si>
  <si>
    <t>32.54%</t>
  </si>
  <si>
    <t>• Resurs Bank Aktiebolag privatlån
• Resurs Bank Aktiebolag official website
• Resurs Bank konsumtionslån villkor
• Resurs Bank lån ränta</t>
  </si>
  <si>
    <t>resursbank.se
konsumentguiden.se</t>
  </si>
  <si>
    <t>resursbank.se
resursbank.se
konsumentguiden.se</t>
  </si>
  <si>
    <t>To apply for a personal loan, you must be at least 20 years old, have a fixed income of at least 240,000 SEK per year, and have no payment remarks (betalningsanmärkningar) or be on long-term sick leav</t>
  </si>
  <si>
    <t>Roslagens Sparbank</t>
  </si>
  <si>
    <t>https://www.roslagenssparbank.se/privat/lana/lana-pengar.html</t>
  </si>
  <si>
    <t>6.34%</t>
  </si>
  <si>
    <t>15.84%</t>
  </si>
  <si>
    <t>• Roslagens Sparbank privatlån ränta
• Roslagens Sparbank konsumtionslån villkor
• Roslagens Sparbank blancolån
• Roslagens Sparbank effective annual percentage rate consumer loan</t>
  </si>
  <si>
    <t>roslagenssparbank.se</t>
  </si>
  <si>
    <t>roslagenssparbank.se
roslagenssparbank.se
roslagenssparbank.se
roslagenssparbank.se</t>
  </si>
  <si>
    <t>The interest rate is variable and was last updated on 2025-10-06. An arrangement fee of 300 SEK applies (0 SEK for 'Nyckelkund' customers). No invoicing fee for e-invoices. The borrower must be a cust</t>
  </si>
  <si>
    <t>Sala Sparbank</t>
  </si>
  <si>
    <t>https://www.salasparbank.se/lana-pengar/privatlan/</t>
  </si>
  <si>
    <t>7.45%</t>
  </si>
  <si>
    <t>12</t>
  </si>
  <si>
    <t>• Sala Sparbank official website
• Sala Sparbank privatlån
• Sala Sparbank consumer loan terms</t>
  </si>
  <si>
    <t>salasparbank.se</t>
  </si>
  <si>
    <t>salasparbank.se
salasparbank.se
salasparbank.se
salasparbank.se
salasparbank.se</t>
  </si>
  <si>
    <t>The nominal interest rate is variable and ranges from 5.95% to 16.09%. An example effective annual percentage rate (APR) is 8.15% for a loan of 100,000 SEK with a 7.73% nominal interest rate over 5 ye</t>
  </si>
  <si>
    <t>Santander Consumer Bank AS Norge, Sverige Filial</t>
  </si>
  <si>
    <t>https://www.santanderconsumer.se/privatlan/</t>
  </si>
  <si>
    <t>19.15%</t>
  </si>
  <si>
    <t>• Santander Consumer Bank Sverige privatlån
• Santander Consumer Bank Sverige lån villkor
• Santander Consumer Bank Sweden consumer loan terms</t>
  </si>
  <si>
    <t>kreditkoll.nu
santanderconsumer.se
trygga.com
konsumentguiden.se
xn--svenskaprivatln-ulb.se
lendo.se
lanekoll.se</t>
  </si>
  <si>
    <t>kreditkoll.nu
santanderconsumer.se
trygga.com
konsumentguiden.se
xn--svenskaprivatln-ulb.se
lendo.se
lanekoll.se
santanderconsumer.se</t>
  </si>
  <si>
    <t>Minimum annual income of 240,000 SEK (deklarerad inkomst) required. No payment remarks (betalningsanmärkningar). No debts with Kronofogden. No setup fee (uppläggningsavgift 0 kr). An administration fe</t>
  </si>
  <si>
    <t>SBAB Bank AB</t>
  </si>
  <si>
    <t>https://www.sbab.se/privat/lana/privatlan.html</t>
  </si>
  <si>
    <t>4.50%</t>
  </si>
  <si>
    <t>8.95%</t>
  </si>
  <si>
    <t>• SBAB privatlån
• SBAB konsumentlån ränta
• SBAB personal loan interest rates
• SBAB lånevillkor</t>
  </si>
  <si>
    <t>xn--lnea-qoa.se
sbab.se
konsumentguiden.se
prisfakta.se</t>
  </si>
  <si>
    <t>xn--lnea-qoa.se
sbab.se
konsumentguiden.se
sbab.se
prisfakta.se
sbab.se</t>
  </si>
  <si>
    <t>The stated APR range reflects the nominal interest rate offered by SBAB for personal loans, which is individually determined based on the borrower's financial situation and credit assessment. SBAB gen</t>
  </si>
  <si>
    <t>Sidensjö Sparbank</t>
  </si>
  <si>
    <t>https://www.sidensjosparbank.se/lana-pengar</t>
  </si>
  <si>
    <t>• Sidensjö Sparbank privatlån
• Sidensjö Sparbank lån</t>
  </si>
  <si>
    <t>sidensjosparbank.se</t>
  </si>
  <si>
    <t>sidensjosparbank.se
sidensjosparbank.se
sidensjosparbank.se
sidensjosparbank.se</t>
  </si>
  <si>
    <t>The interest rate is variable and set individually based on the borrower's financial circumstances. An example calculation for a 100,000 SEK loan with a 7.73% interest rate over 5 years gives an effec</t>
  </si>
  <si>
    <t>Skandinaviska Enskilda Banken AB</t>
  </si>
  <si>
    <t>https://seb.se/privat/lan-och-krediter/privatlan-enkla-lanet</t>
  </si>
  <si>
    <t>6.38%</t>
  </si>
  <si>
    <t>16.29%</t>
  </si>
  <si>
    <t>• SEB privatlån ränta villkor
• SEB Enkla lånet villkor
• SEB lån utan säkerhet ränta</t>
  </si>
  <si>
    <t>No collateral required. The interest rate is set individually based on a credit assessment. No payment remarks (betalningsanmärkningar) are allowed. A minimum annual income of 300,000 SEK is required.</t>
  </si>
  <si>
    <t>Skurups Sparbank</t>
  </si>
  <si>
    <t>https://www.skurupssparbank.se/privat/lana/lana-pengar-ansok-om-lan-till-allt.html</t>
  </si>
  <si>
    <t>5.20%</t>
  </si>
  <si>
    <t>15.34%</t>
  </si>
  <si>
    <t>• Skurups Sparbank privatlån
• Skurups Sparbank lån
• Skurups Sparbank räntor privatlån
• Skurups Sparbank official website
• Skurups Sparbank privatlån maxbelopp
• Skurups Sparbank privatlån lägsta belopp
• Skurups Sparbank privatlån löptid
• Skurups Sparbank privatlån ränta
• Skurups Sparbank privatlån villkor</t>
  </si>
  <si>
    <t>skurupssparbank.se</t>
  </si>
  <si>
    <t>skurupssparbank.se
skurupssparbank.se
skurupssparbank.se
skurupssparbank.se
skurupssparbank.se</t>
  </si>
  <si>
    <t xml:space="preserve">Borrower must be a customer of Skurups Sparbank and have a regular income (not benefits or student grants). No payment remarks are allowed. Setup fee is 300 SEK (0 SEK for 'Nyckelkund'). Notification </t>
  </si>
  <si>
    <t>Sörmlands Sparbank AB</t>
  </si>
  <si>
    <t>https://www.sormlandssparbank.se/lana-pengar/lana-pengar-till-allt/</t>
  </si>
  <si>
    <t>• Sörmlands Sparbank privatlån ränta
• Sörmlands Sparbank lån privatpersoner villkor
• Sörmlands Sparbank privatlån åldersgräns</t>
  </si>
  <si>
    <t>The interest rate is variable and set individually based on the borrower's financial situation. An origination fee of 300 SEK applies (0 SEK for Nyckelkund). Borrowers must be customers of Sörmlands S</t>
  </si>
  <si>
    <t>Sparbanken Bergslagen AB</t>
  </si>
  <si>
    <t>https://www.sparbankenbergslagen.se/privat/lana/privatlan/</t>
  </si>
  <si>
    <t>30000 SEK</t>
  </si>
  <si>
    <t>• Sparbanken Bergslagen AB privatlån
• Sparbanken Bergslagen AB konsumtionslån
• Sparbanken Bergslagen AB räntor privatlån
• Sparbanken Bergslagen AB lånevillkor privatlån</t>
  </si>
  <si>
    <t>sparbankenbergslagen.se</t>
  </si>
  <si>
    <t>sparbankenbergslagen.se
sparbankenbergslagen.se
sparbankenbergslagen.se
sparbankenbergslagen.se</t>
  </si>
  <si>
    <t>The interest rate is variable and set individually based on your financial conditions. An origination fee (uppläggningsavgift) of 300 SEK applies, which is 0 SEK for "Nyckelkund" (key customer). The i</t>
  </si>
  <si>
    <t>Sparbanken Gotland</t>
  </si>
  <si>
    <t>https://vertexaisearch.cloud.google.com/grounding-api-redirect/AUZIYQGk8D6QafYGw52Ti4ILA3xmFy4GYiEwv_BsVXm6iwWM0tRuc_YZ3mMYWid-t40FEfL2nV0WBSmIiVhEDvQ-d29zJQ1L0ovkVpNwEPpicfvEEIXfkbaMyHBZQ2Pg3Dy-wGGik5h_WchwZIBkjVR8knWY6fTW7GssZLOrDdqbxLNCDitkEGctGO9G-sISS_dvzDAiASs9</t>
  </si>
  <si>
    <t>6.40%</t>
  </si>
  <si>
    <t>16.95%</t>
  </si>
  <si>
    <t>• Sparbanken Gotland privatlån
• Sparbanken Gotland konsumtionslån villkor
• Sparbanken Gotland räntor privatlån
• Sparbanken Gotland privatlån maxbelopp
• Sparbanken Gotland privatlån minsta belopp
• Sparbanken Gotland privatlån maximal återbetalningstid</t>
  </si>
  <si>
    <t>sparbankengotland.se</t>
  </si>
  <si>
    <t>sparbankengotland.se
sparbankengotland.se</t>
  </si>
  <si>
    <t>Applicants must be customers of Sparbanken Gotland (can become one with Mobile BankID). Applicants must have a regular income (not from benefits or student aid) and possess the financial capacity to c</t>
  </si>
  <si>
    <t>Sparbanken Mälardalen AB</t>
  </si>
  <si>
    <t>https://www.sparbankenmalardalen.se/privat/lana/lan-till-allt/</t>
  </si>
  <si>
    <t>• Sparbanken Mälardalen AB privatlån
• Sparbanken Mälardalen AB konsumtionslån villkor
• Sparbanken Mälardalen AB Enkla lånet
• Sparbanken Mälardalen AB lån</t>
  </si>
  <si>
    <t>sparbankenmalardalen.se</t>
  </si>
  <si>
    <t>sparbankenmalardalen.se
sparbankenmalardalen.se</t>
  </si>
  <si>
    <t>Applicants must be at least 18 years old and have a regular income (not benefits or student aid). There must be sufficient room in the applicant's economy to cover loan costs. No payment remarks (beta</t>
  </si>
  <si>
    <t>Sparbanken Nord</t>
  </si>
  <si>
    <t>https://www.sparbankennord.se/lana/lan-till-allt/privatlan/</t>
  </si>
  <si>
    <t>5.45%</t>
  </si>
  <si>
    <t>10.30%</t>
  </si>
  <si>
    <t>• Sparbanken Nord privatlån
• Sparbanken Nord konsumtionslån
• Sparbanken Nord ränta privatlån</t>
  </si>
  <si>
    <t>Interest rate is variable and set individually based on the borrower's financial circumstances. No collateral is required. Borrower must have a regular income (not from benefits or student aid), suffi</t>
  </si>
  <si>
    <t>Sparbanken Sjuhärad AB</t>
  </si>
  <si>
    <t>https://www.sparbankensjuharad.se/privat/lana/privatlan.html</t>
  </si>
  <si>
    <t>6.90%</t>
  </si>
  <si>
    <t>15.90%</t>
  </si>
  <si>
    <t>• Sparbanken Sjuhärad AB privatlån
• Sparbanken Sjuhärad AB konsumtionslån
• Sparbanken Sjuhärad AB blancolån ränta</t>
  </si>
  <si>
    <t>sparbankensjuharad.se</t>
  </si>
  <si>
    <t>sparbankensjuharad.se
sparbankensjuharad.se
sparbankensjuharad.se
sparbankensjuharad.se</t>
  </si>
  <si>
    <t>The effective annual percentage rate (APR) is variable, with a range of 6.90% to 15.90%. An arrangement fee (uppläggningsavgift) of 300 SEK applies. There is no notification fee (aviseringsavgift) for</t>
  </si>
  <si>
    <t>Sparbanken Skåne AB</t>
  </si>
  <si>
    <t>https://vertexaisearch.cloud.google.com/grounding-api-redirect/AUZIYQH3BRm1d0CXzPV9dIANjhrhjcliCEOJunTNgqSR_7bGaWRwya4jBc9c5roQEsmKlQv1bj1kPzPVFtDljI1UW-o-ca_ZsXH0UOVn1TYdEU-Lq5rSoSDuTd49CrVOJeWyAERFIkrE5AMCChb0vmTqj6_9ixfz-_J0dqIMALim</t>
  </si>
  <si>
    <t>17.15%</t>
  </si>
  <si>
    <t>• Sparbanken Skåne AB privatlån
• Sparbanken Skåne AB konsumtionslån ränta
• Sparbanken Skåne AB lånevillkor
• Sparbanken Skåne AB privatlån åldersgräns
• Sparbanken Skåne AB privatlån max återbetalningstid
• Sparbanken Skåne AB privatlån villkor</t>
  </si>
  <si>
    <t xml:space="preserve">The interest rate is variable and set individually based on the borrower's financial conditions. No setup fee or invoicing fee (for e-invoices) applies. Minimum age for personal loans is generally 18 </t>
  </si>
  <si>
    <t>Sparbanken Skaraborg AB</t>
  </si>
  <si>
    <t>https://www.sparbankenskaraborg.se/privat/lana/lanapengar/privatlan.html</t>
  </si>
  <si>
    <t>• Sparbanken Skaraborg AB privatlån
• Sparbanken Skaraborg AB konsumentlån
• Sparbanken Skaraborg AB lån</t>
  </si>
  <si>
    <t>sparbankenskaraborg.se</t>
  </si>
  <si>
    <t>sparbankenskaraborg.se
sparbankenskaraborg.se</t>
  </si>
  <si>
    <t>Applicants must be at least 18 years old and have a regular income (not benefits or student aid). The applicant's economy must have room to cover the loan costs. No payment remarks are allowed. A cred</t>
  </si>
  <si>
    <t>Sparbanken Spira AB</t>
  </si>
  <si>
    <t>https://www.sparbankenspira.se/privat/lana-pengar/privatlan/</t>
  </si>
  <si>
    <t>• Sparbanken Spira AB privatlån ränta
• Sparbanken Spira AB konsumentlån villkor
• Sparbanken Spira AB lån</t>
  </si>
  <si>
    <t>sparbankenspira.se</t>
  </si>
  <si>
    <t>sparbankenspira.se
sparbankenspira.se</t>
  </si>
  <si>
    <t>The provided APR range (5.95% - 16.09%) refers to the nominal variable interest rate ('rörlig ränta'). The effective annual percentage rate (APR) is given as an example for a specific loan (e.g., 8.15</t>
  </si>
  <si>
    <t>Sparbanken Syd</t>
  </si>
  <si>
    <t>https://www.sparbankensyd.se/lana/privatlan</t>
  </si>
  <si>
    <t>5.39%</t>
  </si>
  <si>
    <t>9.39%</t>
  </si>
  <si>
    <t>• Sparbanken Syd privatlån
• Sparbanken Syd konsumentkredit villkor
• Sparbanken Syd låna pengar privat
• Sparbanken Syd ränta privatlån</t>
  </si>
  <si>
    <t>sparbankensyd.se
xn--lnea-qoa.se
mystep.se</t>
  </si>
  <si>
    <t>sparbankensyd.se
sparbankensyd.se
xn--lnea-qoa.se
mystep.se</t>
  </si>
  <si>
    <t>To apply for a private loan, you need to be a customer of Sparbanken Syd. No collateral is required. The loan has no amortization fees. Sparbanken Syd does not accept applicants with payment remarks (</t>
  </si>
  <si>
    <t>Sparbanken Tanum</t>
  </si>
  <si>
    <t>https://www.sparbankentanum.se/privatlan</t>
  </si>
  <si>
    <t>6.20%</t>
  </si>
  <si>
    <t>16.34%</t>
  </si>
  <si>
    <t>• Sparbanken Tanum privatlån
• Sparbanken Tanum consumer loan terms
• Sparbanken Tanum official website</t>
  </si>
  <si>
    <t>The interest rate is variable and set individually based on the borrower's financial situation. No collateral is required. Borrowers must be 18 years old, have a regular income not derived from benefi</t>
  </si>
  <si>
    <t>Svea Bank AB</t>
  </si>
  <si>
    <t>https://www.svea.com/se/privat/lana/privatlan/</t>
  </si>
  <si>
    <t>8.87%</t>
  </si>
  <si>
    <t>29.99%</t>
  </si>
  <si>
    <t>• Svea Bank AB privatlån
• Svea Bank AB consumer lending terms
• Svea Bank AB effektiva ränta privatlån
• Svea Bank AB lånebelopp privatlån
• Svea Bank AB åldersgräns privatlån
• Svea Bank AB återbetalningstid privatlån</t>
  </si>
  <si>
    <t>svea.com
finansvalp.se
lanekoll.se
trygga.com
kreditly.se
konsumentguiden.se
xn--svenskaprivatln-ulb.se
xn--lnea-qoa.se</t>
  </si>
  <si>
    <t>svea.com
finansvalp.se
lanekoll.se
trygga.com
kreditly.se
konsumentguiden.se
xn--svenskaprivatln-ulb.se
xn--lnea-qoa.se
svea.com</t>
  </si>
  <si>
    <t>Svea Bank offers different types of private loans, including options for individuals with payment remarks ('betalningsanmärkning'). While some sources indicate payment remarks are not accepted, Svea B</t>
  </si>
  <si>
    <t>Svenska Handelsbanken AB</t>
  </si>
  <si>
    <t>https://www.handelsbanken.se/sv/privat/lan/privatlan</t>
  </si>
  <si>
    <t>7.80%</t>
  </si>
  <si>
    <t>16.08%</t>
  </si>
  <si>
    <t>• Handelsbanken privatlån
• Handelsbanken privatlån effektiv ränta
• Handelsbanken privatlån lånebelopp
• Handelsbanken privatlån åldersgräns
• Handelsbanken privatlån återbetalningstid</t>
  </si>
  <si>
    <t>konsumentguiden.se
handelsbanken.se
kreditkoll.nu
mystep.se
xn--lnen-qoa.se</t>
  </si>
  <si>
    <t>konsumentguiden.se
handelsbanken.se
kreditkoll.nu
handelsbanken.se
mystep.se
xn--lnen-qoa.se</t>
  </si>
  <si>
    <t>The effective annual percentage rate (APR) is currently stated as 8.17% for Privatlån Direkt, but can range from 7.80% to 16.08% as it is set individually. To apply for Privatlån Direkt, you must be a</t>
  </si>
  <si>
    <t>Swedbank AB</t>
  </si>
  <si>
    <t>https://www.swedbank.se/privat/lana/lana-pengar/privatlan.html</t>
  </si>
  <si>
    <t>6.19%</t>
  </si>
  <si>
    <t>17.49%</t>
  </si>
  <si>
    <t>• Swedbank AB privatlån
• Swedbank privatlån villkor
• Swedbank privatlån effektiv ränta
• Swedbank privatlån lånebelopp
• Swedbank privatlån åldersgräns
• Swedbank privatlån återbetalningstid</t>
  </si>
  <si>
    <t>finansvalp.se
konsumentguiden.se
swedbank.se
xn--privatlnlistan-rib.se
xn--lnutanuc-9za.se
kreditkoll.nu
hittalanet.se
xn--allaln-mua.se</t>
  </si>
  <si>
    <t>finansvalp.se
konsumentguiden.se
swedbank.se
swedbank.se
xn--privatlnlistan-rib.se
xn--lnutanuc-9za.se
swedbank.se
kreditkoll.nu
hittalanet.se
swedbank.se
xn--allaln-mua.se</t>
  </si>
  <si>
    <t>Borrower must be a Swedbank customer to apply. No payment remarks (betalningsanmärkningar) are allowed. An arrangement fee of 300 SEK applies, but it is 0 SEK for "Nyckelkund" (key customer). The inte</t>
  </si>
  <si>
    <t>TF Bank AB</t>
  </si>
  <si>
    <t>https://www.tfbank.se/lan</t>
  </si>
  <si>
    <t>7.51%</t>
  </si>
  <si>
    <t>28.58%</t>
  </si>
  <si>
    <t>22</t>
  </si>
  <si>
    <t>• TF Bank AB privatlån villkor
• TF Bank AB konsumtionslån ränta
• TF Bank AB lånebelopp
• TF Bank AB ålderskrav lån</t>
  </si>
  <si>
    <t>mystep.se
xn--lnen-qoa.se
kreditkoll.nu
enklare.se
tfbank.se
lendo.se</t>
  </si>
  <si>
    <t>mystep.se
xn--lnen-qoa.se
kreditkoll.nu
enklare.se
tfbank.se
lendo.se
tfbank.se</t>
  </si>
  <si>
    <t xml:space="preserve">Applicant must be a resident and registered in Sweden for at least 3 years, have a declared annual income of at least 150,000 SEK, have no payment remarks, and possess a BankID. Loan applications are </t>
  </si>
  <si>
    <t>TF Bank Nordic AB</t>
  </si>
  <si>
    <t>2500</t>
  </si>
  <si>
    <t>10 år</t>
  </si>
  <si>
    <t>• TF Bank Nordic AB privatlån
• TF Bank lån ränta villkor
• TF Bank Nordic AB consumer lending terms</t>
  </si>
  <si>
    <t>tfbank.se
mystep.se
xn--lnen-qoa.se
lendo.se
kreditkoll.nu
axofinans.se</t>
  </si>
  <si>
    <t>tfbank.se
mystep.se
tfbank.se
xn--lnen-qoa.se
lendo.se
kreditkoll.nu
axofinans.se</t>
  </si>
  <si>
    <t xml:space="preserve">The nominal interest rate is individual and is set in conjunction with the credit assessment, ranging from 9.90% to 16.40%. An administration fee of 29 SEK per month and an origination fee of 390 SEK </t>
  </si>
  <si>
    <t>Ulricehamns Sparbank</t>
  </si>
  <si>
    <t>https://www.ulricehamnssparbank.se/privat/lana/lana-pengar/</t>
  </si>
  <si>
    <t>• Ulricehamns Sparbank privatlån
• Ulricehamns Sparbank konsumentkredit
• Ulricehamns Sparbank räntor privatlån</t>
  </si>
  <si>
    <t>ulricehamnssparbank.se</t>
  </si>
  <si>
    <t>ulricehamnssparbank.se
ulricehamnssparbank.se
ulricehamnssparbank.se</t>
  </si>
  <si>
    <t>The interest rate is variable. The given APR range refers to the nominal interest rate. An example effective annual percentage rate (APR) is 8.15% (8.01% for 'Nyckelkund' – key customer) for a loan of</t>
  </si>
  <si>
    <t>Vadstena Sparbank</t>
  </si>
  <si>
    <t>https://www.vadstenasparbank.se/privat/lana/privatlan/</t>
  </si>
  <si>
    <t xml:space="preserve">5 years </t>
  </si>
  <si>
    <t>• Vadstena Sparbank privatlån
• Vadstena Sparbank konsumentkredit
• Vadstena Sparbank official website</t>
  </si>
  <si>
    <t>vadstenasparbank.se</t>
  </si>
  <si>
    <t>vadstenasparbank.se
vadstenasparbank.se
vadstenasparbank.se</t>
  </si>
  <si>
    <t>Applicants must be at least 18 years old and have a stable income that does not include benefits or student grants. Their economy must be able to cover the loan costs, and they must not have any regis</t>
  </si>
  <si>
    <t>Vimmerby Sparbank AB</t>
  </si>
  <si>
    <t>https://www.vimmerbysparbank.se/privat/lana/lana-enkelt/lanetjanster.html</t>
  </si>
  <si>
    <t>• Vimmerby Sparbank AB privatlån
• Vimmerby Sparbank AB konsumtionslån
• Vimmerby Sparbank privatlån maxbelopp
• Vimmerby Sparbank privatlån lägsta belopp
• Vimmerby Sparbank privatlån löptid</t>
  </si>
  <si>
    <t>vimmerbysparbank.se</t>
  </si>
  <si>
    <t>vimmerbysparbank.se
vimmerbysparbank.se</t>
  </si>
  <si>
    <t>The interest rate is variable and set individually based on your financial circumstances. You must be a customer to apply for the loan. Requirements include being 18 years old, having a regular income</t>
  </si>
  <si>
    <t>Virserums Sparbank</t>
  </si>
  <si>
    <t>https://www.virserumssparbank.se/privat/lana/lana-pengar/</t>
  </si>
  <si>
    <t>6.18%</t>
  </si>
  <si>
    <t>14.70%</t>
  </si>
  <si>
    <t>• Virserums Sparbank privatlån
• Virserums Sparbank konsumentkredit</t>
  </si>
  <si>
    <t>virserumssparbank.se</t>
  </si>
  <si>
    <t>A setup fee of 550 SEK applies. There is no notification fee. The interest rate is variable and set individually based on the borrower's financial conditions. The borrower must be 18 years old and hav</t>
  </si>
  <si>
    <t>Westra Wermlands Sparbank</t>
  </si>
  <si>
    <t>https://www.wwsparbank.se/privatlan/</t>
  </si>
  <si>
    <t>15.59%</t>
  </si>
  <si>
    <t>• Westra Wermlands Sparbank privatlån
• Westra Wermlands Sparbank lån ränta
• Westra Wermlands Sparbank lånevillkor</t>
  </si>
  <si>
    <t>wwsparbank.se</t>
  </si>
  <si>
    <t>wwsparbank.se
wwsparbank.se
wwsparbank.se
wwsparbank.se</t>
  </si>
  <si>
    <t>The stated APR range is the nominal interest rate range (räntespann), last changed on 2025-10-10. The effective annual percentage rate (effektiv ränta) can be higher due to fees. For example, a loan o</t>
  </si>
  <si>
    <t>Domain</t>
  </si>
  <si>
    <t>Times CITED
(shaped answers)</t>
  </si>
  <si>
    <t>konsumentguiden.se</t>
  </si>
  <si>
    <t>kreditkoll.nu</t>
  </si>
  <si>
    <t>mystep.se</t>
  </si>
  <si>
    <t>trygga.com</t>
  </si>
  <si>
    <t>xn--lnen-qoa.se</t>
  </si>
  <si>
    <t>finansvalp.se</t>
  </si>
  <si>
    <t>lendo.se</t>
  </si>
  <si>
    <t>xn--lnea-qoa.se</t>
  </si>
  <si>
    <t>xn--svenskaprivatln-ulb.se</t>
  </si>
  <si>
    <t>sambla.se</t>
  </si>
  <si>
    <t>enklare.se</t>
  </si>
  <si>
    <t>ordnabolan.se</t>
  </si>
  <si>
    <t>lanekoll.se</t>
  </si>
  <si>
    <t>xn--privatlnlistan-rib.se</t>
  </si>
  <si>
    <t>tfbank.se</t>
  </si>
  <si>
    <t>ikanobank.se</t>
  </si>
  <si>
    <t>lansforsakringar.se</t>
  </si>
  <si>
    <t>morrowbank.se</t>
  </si>
  <si>
    <t>resursbank.se</t>
  </si>
  <si>
    <t>sbab.se</t>
  </si>
  <si>
    <t>prisfakta.se</t>
  </si>
  <si>
    <t>svea.com</t>
  </si>
  <si>
    <t>kreditly.se</t>
  </si>
  <si>
    <t>handelsbanken.se</t>
  </si>
  <si>
    <t>swedbank.se</t>
  </si>
  <si>
    <t>xn--lnutanuc-9za.se</t>
  </si>
  <si>
    <t>hittalanet.se</t>
  </si>
  <si>
    <t>xn--allaln-mua.se</t>
  </si>
  <si>
    <t>axofinans.se</t>
  </si>
  <si>
    <t>avidafinance.com</t>
  </si>
  <si>
    <t>brocc.se</t>
  </si>
  <si>
    <t>brixo.se</t>
  </si>
  <si>
    <t>xn--blancoln-g0a.nu</t>
  </si>
  <si>
    <t>xn--lnium-mra.com</t>
  </si>
  <si>
    <t>bank.se</t>
  </si>
  <si>
    <t>moank.se</t>
  </si>
  <si>
    <t>sparbankensyd.se</t>
  </si>
  <si>
    <t>nordea.se</t>
  </si>
  <si>
    <t>xn--lnlgrnta-4zafc.se</t>
  </si>
  <si>
    <t>facitbank.se</t>
  </si>
  <si>
    <t>kreditium.se</t>
  </si>
  <si>
    <t>santanderconsumer.se</t>
  </si>
  <si>
    <t>Gemini 2.5 Flash + google_search — Summary</t>
  </si>
  <si>
    <t>Count</t>
  </si>
  <si>
    <t>Metric</t>
  </si>
  <si>
    <t>Value</t>
  </si>
  <si>
    <t>Total lenders</t>
  </si>
  <si>
    <t>Web searches triggered</t>
  </si>
  <si>
    <t>Total web searches run</t>
  </si>
  <si>
    <t>Total cited URLs/domains</t>
  </si>
  <si>
    <t>Banks with any citation</t>
  </si>
  <si>
    <t>Avg searches per lender</t>
  </si>
  <si>
    <t>Banks with empty Min APR</t>
  </si>
  <si>
    <t>Methodology</t>
  </si>
  <si>
    <t>Model</t>
  </si>
  <si>
    <t>gemini-2.5-flash (Google Gemini API)</t>
  </si>
  <si>
    <t>Endpoint</t>
  </si>
  <si>
    <t>https://generativelanguage.googleapis.com/v1beta/models/gemini-2.5-flash:generateContent</t>
  </si>
  <si>
    <t>Web search tool</t>
  </si>
  <si>
    <t>tools: [{google_search: {}}] — Gemini's built-in Google Search grounding.</t>
  </si>
  <si>
    <t>Date run</t>
  </si>
  <si>
    <t>April 2026</t>
  </si>
  <si>
    <t>Citation behavior</t>
  </si>
  <si>
    <t>Gemini returns groundingMetadata with webSearchQueries (UNIQUE — no other provider exposes these) and groundingChunks[].web with {uri, title}. URIs are opaque Vertex AI redirect tokens.</t>
  </si>
  <si>
    <t>Reliability</t>
  </si>
  <si>
    <t>Concurrency=3, 51/51 successful.</t>
  </si>
  <si>
    <t>Input data</t>
  </si>
  <si>
    <t>Dataset With Banks For AI Search - Sheet1.csv — 51 Swedish/Scandinavian credit institutions</t>
  </si>
  <si>
    <t>Purpose</t>
  </si>
  <si>
    <t>Mimics a real user asking 'What are the loan terms for [Bank]?' — the model decides whether to search and returns structured JSON.</t>
  </si>
  <si>
    <t>Caveat</t>
  </si>
  <si>
    <t>Rates and terms change. This data reflects live web results as of the run date.</t>
  </si>
  <si>
    <t>Gemini 2.5 Flash + google_search — run_3 — APR rate-type classification</t>
  </si>
  <si>
    <t>Labels: effective = 'effektiv ränta' (Swedish APR). nominal = 'nominell' / 'årsränta' / 'rörlig ränta' / 'fast ränta' / 'kreditränta'. representative_example = 'räkneexempel' / 'representativt exempel'. unlabeled = no anchor within 80 chars of the APR number in this provider's cached response.</t>
  </si>
  <si>
    <t>Classification reads only this provider's own cached response (apr_range → notes → citation snippets). Ground-truth data is NOT consulted.</t>
  </si>
  <si>
    <t>APR Raw (from model)</t>
  </si>
  <si>
    <t>Rate Type</t>
  </si>
  <si>
    <t>Anchor Evidence</t>
  </si>
  <si>
    <t>Source Field</t>
  </si>
  <si>
    <t>5.95% - 16.09%</t>
  </si>
  <si>
    <t>unlabeled</t>
  </si>
  <si>
    <t>no_anchor_near_apr</t>
  </si>
  <si>
    <t>6.93% - 20.81%</t>
  </si>
  <si>
    <t>6.00% - 17.17%</t>
  </si>
  <si>
    <t>6.83% - 18.90%</t>
  </si>
  <si>
    <t>6.75% - 18.25%</t>
  </si>
  <si>
    <t>5.99% - 32.54%</t>
  </si>
  <si>
    <t>9.71% - 30.59%</t>
  </si>
  <si>
    <t>6.38% - 16.29%</t>
  </si>
  <si>
    <t>4.50% - 8.95%</t>
  </si>
  <si>
    <t>6.90% - 15.90%</t>
  </si>
  <si>
    <t>effective</t>
  </si>
  <si>
    <t>annual percentage rate</t>
  </si>
  <si>
    <t>notes</t>
  </si>
  <si>
    <t>5.95% - 17.15%</t>
  </si>
  <si>
    <t>8.87% - 29.99%</t>
  </si>
  <si>
    <t>APR</t>
  </si>
  <si>
    <t>7.80% - 16.08%</t>
  </si>
  <si>
    <t>6.19% - 17.49%</t>
  </si>
  <si>
    <t>7.51% - 28.58%</t>
  </si>
  <si>
    <t>11.15% - 29.50%</t>
  </si>
  <si>
    <t>4.95% - 21.95%</t>
  </si>
  <si>
    <t>22.8%</t>
  </si>
  <si>
    <t>14.82% - 29.27%</t>
  </si>
  <si>
    <t>no_apr_in_response</t>
  </si>
  <si>
    <t>Not explicitly stated as an effective annual percentage rate range.</t>
  </si>
  <si>
    <t>Not explicitly stated as a range</t>
  </si>
  <si>
    <t>4.39% - 27.10%</t>
  </si>
  <si>
    <t>6.34% - 15.84%</t>
  </si>
  <si>
    <t>6.15% - 14.85% (nominal interest rate)</t>
  </si>
  <si>
    <t>nominal</t>
  </si>
  <si>
    <t>nominal interest</t>
  </si>
  <si>
    <t>apr_range</t>
  </si>
  <si>
    <t>5.20% - 15.34%</t>
  </si>
  <si>
    <t>6.40% - 16.95%</t>
  </si>
  <si>
    <t>7.45% - 16.09%</t>
  </si>
  <si>
    <t>5.45% - 10.30%</t>
  </si>
  <si>
    <t>5.39% - 9.39%</t>
  </si>
  <si>
    <t>6.20% - 16.34%</t>
  </si>
  <si>
    <t>6.18% - 14.70%</t>
  </si>
  <si>
    <t>5.24% - 13.97%</t>
  </si>
  <si>
    <t>5.45% - 15.59%</t>
  </si>
  <si>
    <t>9.82% - 35.21%</t>
  </si>
  <si>
    <t>6.15% - 19.15%</t>
  </si>
  <si>
    <t>Summary</t>
  </si>
  <si>
    <t>representative_example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</si>
</sst>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sz val="9.0"/>
      <color theme="1"/>
      <name val="Arial"/>
    </font>
    <font>
      <b/>
      <sz val="9.0"/>
      <color theme="1"/>
      <name val="Arial"/>
    </font>
    <font>
      <b/>
      <sz val="13.0"/>
      <color rgb="FFFFFFFF"/>
      <name val="Arial"/>
    </font>
    <font/>
    <font>
      <b/>
      <sz val="13.0"/>
      <color theme="1"/>
      <name val="Calibri"/>
      <scheme val="minor"/>
    </font>
    <font>
      <sz val="11.0"/>
      <color theme="1"/>
      <name val="Calibri"/>
    </font>
    <font>
      <b/>
      <color rgb="FFFFFFFF"/>
      <name val="Calibri"/>
      <scheme val="minor"/>
    </font>
    <font>
      <b/>
      <color theme="1"/>
      <name val="Calibri"/>
      <scheme val="minor"/>
    </font>
    <font>
      <color theme="1"/>
      <name val="Calibri"/>
      <scheme val="minor"/>
    </font>
  </fonts>
  <fills count="12">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DAEEF3"/>
        <bgColor rgb="FFDAEEF3"/>
      </patternFill>
    </fill>
    <fill>
      <patternFill patternType="solid">
        <fgColor rgb="FFE2EFDA"/>
        <bgColor rgb="FFE2EFDA"/>
      </patternFill>
    </fill>
    <fill>
      <patternFill patternType="solid">
        <fgColor rgb="FFFFF2CC"/>
        <bgColor rgb="FFFFF2CC"/>
      </patternFill>
    </fill>
    <fill>
      <patternFill patternType="solid">
        <fgColor rgb="FFFFFDE7"/>
        <bgColor rgb="FFFFFDE7"/>
      </patternFill>
    </fill>
    <fill>
      <patternFill patternType="solid">
        <fgColor rgb="FFF0F0F0"/>
        <bgColor rgb="FFF0F0F0"/>
      </patternFill>
    </fill>
    <fill>
      <patternFill patternType="solid">
        <fgColor rgb="FF2E75B6"/>
        <bgColor rgb="FF2E75B6"/>
      </patternFill>
    </fill>
    <fill>
      <patternFill patternType="solid">
        <fgColor rgb="FFF2F2F2"/>
        <bgColor rgb="FFF2F2F2"/>
      </patternFill>
    </fill>
    <fill>
      <patternFill patternType="solid">
        <fgColor rgb="FF305496"/>
        <bgColor rgb="FF305496"/>
      </patternFill>
    </fill>
  </fills>
  <borders count="6">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vertical="top"/>
    </xf>
    <xf borderId="1" fillId="4" fontId="2" numFmtId="0" xfId="0" applyAlignment="1" applyBorder="1" applyFill="1" applyFont="1">
      <alignment vertical="top"/>
    </xf>
    <xf borderId="1" fillId="3" fontId="2" numFmtId="0" xfId="0" applyAlignment="1" applyBorder="1" applyFont="1">
      <alignment shrinkToFit="0" vertical="top" wrapText="1"/>
    </xf>
    <xf borderId="1" fillId="3" fontId="3" numFmtId="0" xfId="0" applyAlignment="1" applyBorder="1" applyFont="1">
      <alignment vertical="top"/>
    </xf>
    <xf borderId="1" fillId="5" fontId="3" numFmtId="0" xfId="0" applyAlignment="1" applyBorder="1" applyFill="1" applyFont="1">
      <alignment vertical="top"/>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3" numFmtId="0" xfId="0" applyAlignment="1" applyBorder="1" applyFont="1">
      <alignment vertical="top"/>
    </xf>
    <xf borderId="1" fillId="8" fontId="2" numFmtId="0" xfId="0" applyAlignment="1" applyBorder="1" applyFill="1" applyFont="1">
      <alignment vertical="top"/>
    </xf>
    <xf borderId="1" fillId="0" fontId="2" numFmtId="0" xfId="0" applyAlignment="1" applyBorder="1" applyFont="1">
      <alignment readingOrder="0" shrinkToFit="0" vertical="top" wrapText="1"/>
    </xf>
    <xf borderId="2" fillId="2" fontId="4" numFmtId="0" xfId="0" applyAlignment="1" applyBorder="1" applyFont="1">
      <alignment horizontal="center"/>
    </xf>
    <xf borderId="3" fillId="0" fontId="5" numFmtId="0" xfId="0" applyBorder="1" applyFont="1"/>
    <xf borderId="4" fillId="0" fontId="5" numFmtId="0" xfId="0" applyBorder="1" applyFont="1"/>
    <xf borderId="1" fillId="9" fontId="1" numFmtId="0" xfId="0" applyAlignment="1" applyBorder="1" applyFill="1" applyFont="1">
      <alignment horizontal="center" shrinkToFit="0" vertical="center" wrapText="1"/>
    </xf>
    <xf borderId="0" fillId="0" fontId="6" numFmtId="0" xfId="0" applyFont="1"/>
    <xf borderId="2" fillId="10" fontId="7" numFmtId="0" xfId="0" applyAlignment="1" applyBorder="1" applyFill="1" applyFont="1">
      <alignment shrinkToFit="0" vertical="top" wrapText="1"/>
    </xf>
    <xf borderId="5" fillId="11" fontId="8" numFmtId="0" xfId="0" applyAlignment="1" applyBorder="1" applyFill="1" applyFont="1">
      <alignment shrinkToFit="0" vertical="center" wrapText="1"/>
    </xf>
    <xf borderId="0" fillId="0" fontId="7"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0.0"/>
    <col customWidth="1" min="3" max="3" width="46.0"/>
    <col customWidth="1" min="4" max="5" width="11.0"/>
    <col customWidth="1" min="6" max="7" width="18.0"/>
    <col customWidth="1" min="8" max="8" width="11.0"/>
    <col customWidth="1" min="9" max="9" width="16.0"/>
    <col customWidth="1" min="10" max="10" width="13.0"/>
    <col customWidth="1" min="11" max="11" width="46.0"/>
    <col customWidth="1" min="12" max="12" width="58.0"/>
    <col customWidth="1" min="13" max="13" width="50.0"/>
    <col customWidth="1" min="14" max="14" width="42.0"/>
    <col customWidth="1" min="15" max="15" width="55.0"/>
    <col customWidth="1" min="16" max="16" width="42.0"/>
    <col customWidth="1" min="17" max="26" width="8.71"/>
  </cols>
  <sheetData>
    <row r="1" ht="4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5" t="s">
        <v>19</v>
      </c>
      <c r="E2" s="5" t="s">
        <v>20</v>
      </c>
      <c r="F2" s="4" t="s">
        <v>21</v>
      </c>
      <c r="G2" s="4" t="s">
        <v>22</v>
      </c>
      <c r="H2" s="2" t="s">
        <v>23</v>
      </c>
      <c r="I2" s="4" t="s">
        <v>24</v>
      </c>
      <c r="J2" s="6">
        <v>4.0</v>
      </c>
      <c r="K2" s="7" t="s">
        <v>25</v>
      </c>
      <c r="L2" s="8" t="s">
        <v>26</v>
      </c>
      <c r="M2" s="8" t="s">
        <v>27</v>
      </c>
      <c r="N2" s="8" t="s">
        <v>28</v>
      </c>
      <c r="O2" s="4" t="s">
        <v>29</v>
      </c>
      <c r="P2" s="2" t="s">
        <v>30</v>
      </c>
    </row>
    <row r="3">
      <c r="A3" s="2" t="s">
        <v>31</v>
      </c>
      <c r="B3" s="3" t="s">
        <v>17</v>
      </c>
      <c r="C3" s="4" t="s">
        <v>32</v>
      </c>
      <c r="D3" s="5"/>
      <c r="E3" s="5"/>
      <c r="F3" s="4" t="s">
        <v>33</v>
      </c>
      <c r="G3" s="4" t="s">
        <v>34</v>
      </c>
      <c r="H3" s="2" t="s">
        <v>35</v>
      </c>
      <c r="I3" s="4" t="s">
        <v>36</v>
      </c>
      <c r="J3" s="6">
        <v>3.0</v>
      </c>
      <c r="K3" s="7" t="s">
        <v>37</v>
      </c>
      <c r="L3" s="8" t="s">
        <v>38</v>
      </c>
      <c r="M3" s="8" t="s">
        <v>39</v>
      </c>
      <c r="N3" s="8" t="s">
        <v>28</v>
      </c>
      <c r="O3" s="4" t="s">
        <v>40</v>
      </c>
      <c r="P3" s="2" t="s">
        <v>30</v>
      </c>
    </row>
    <row r="4">
      <c r="A4" s="2" t="s">
        <v>41</v>
      </c>
      <c r="B4" s="3" t="s">
        <v>17</v>
      </c>
      <c r="C4" s="4" t="s">
        <v>42</v>
      </c>
      <c r="D4" s="5" t="s">
        <v>43</v>
      </c>
      <c r="E4" s="5" t="s">
        <v>43</v>
      </c>
      <c r="F4" s="4" t="s">
        <v>44</v>
      </c>
      <c r="G4" s="4" t="s">
        <v>45</v>
      </c>
      <c r="H4" s="2" t="s">
        <v>46</v>
      </c>
      <c r="I4" s="9">
        <v>7.5</v>
      </c>
      <c r="J4" s="6">
        <v>4.0</v>
      </c>
      <c r="K4" s="7" t="s">
        <v>47</v>
      </c>
      <c r="L4" s="8" t="s">
        <v>48</v>
      </c>
      <c r="M4" s="8" t="s">
        <v>49</v>
      </c>
      <c r="N4" s="8" t="s">
        <v>28</v>
      </c>
      <c r="O4" s="4" t="s">
        <v>50</v>
      </c>
      <c r="P4" s="2" t="s">
        <v>30</v>
      </c>
    </row>
    <row r="5">
      <c r="A5" s="10" t="s">
        <v>51</v>
      </c>
      <c r="B5" s="3" t="s">
        <v>17</v>
      </c>
      <c r="C5" s="11" t="s">
        <v>52</v>
      </c>
      <c r="D5" s="12" t="s">
        <v>53</v>
      </c>
      <c r="E5" s="12" t="s">
        <v>54</v>
      </c>
      <c r="F5" s="11" t="s">
        <v>55</v>
      </c>
      <c r="G5" s="11" t="s">
        <v>22</v>
      </c>
      <c r="H5" s="10" t="s">
        <v>56</v>
      </c>
      <c r="I5" s="11" t="s">
        <v>57</v>
      </c>
      <c r="J5" s="6">
        <v>4.0</v>
      </c>
      <c r="K5" s="7" t="s">
        <v>58</v>
      </c>
      <c r="L5" s="8" t="s">
        <v>59</v>
      </c>
      <c r="M5" s="8" t="s">
        <v>59</v>
      </c>
      <c r="N5" s="8" t="s">
        <v>28</v>
      </c>
      <c r="O5" s="11" t="s">
        <v>60</v>
      </c>
      <c r="P5" s="10" t="s">
        <v>30</v>
      </c>
    </row>
    <row r="6">
      <c r="A6" s="2" t="s">
        <v>61</v>
      </c>
      <c r="B6" s="3" t="s">
        <v>17</v>
      </c>
      <c r="C6" s="4" t="s">
        <v>62</v>
      </c>
      <c r="D6" s="5" t="s">
        <v>63</v>
      </c>
      <c r="E6" s="5" t="s">
        <v>64</v>
      </c>
      <c r="F6" s="4" t="s">
        <v>65</v>
      </c>
      <c r="G6" s="4" t="s">
        <v>66</v>
      </c>
      <c r="H6" s="2" t="s">
        <v>56</v>
      </c>
      <c r="I6" s="4" t="s">
        <v>36</v>
      </c>
      <c r="J6" s="6">
        <v>8.0</v>
      </c>
      <c r="K6" s="7" t="s">
        <v>67</v>
      </c>
      <c r="L6" s="8"/>
      <c r="M6" s="8"/>
      <c r="N6" s="8" t="s">
        <v>28</v>
      </c>
      <c r="O6" s="4" t="s">
        <v>68</v>
      </c>
      <c r="P6" s="2" t="s">
        <v>30</v>
      </c>
    </row>
    <row r="7">
      <c r="A7" s="10" t="s">
        <v>69</v>
      </c>
      <c r="B7" s="3" t="s">
        <v>17</v>
      </c>
      <c r="C7" s="11" t="s">
        <v>70</v>
      </c>
      <c r="D7" s="12" t="s">
        <v>71</v>
      </c>
      <c r="E7" s="12" t="s">
        <v>72</v>
      </c>
      <c r="F7" s="11" t="s">
        <v>73</v>
      </c>
      <c r="G7" s="11" t="s">
        <v>45</v>
      </c>
      <c r="H7" s="10" t="s">
        <v>56</v>
      </c>
      <c r="I7" s="11" t="s">
        <v>74</v>
      </c>
      <c r="J7" s="6">
        <v>4.0</v>
      </c>
      <c r="K7" s="7" t="s">
        <v>75</v>
      </c>
      <c r="L7" s="8" t="s">
        <v>76</v>
      </c>
      <c r="M7" s="8" t="s">
        <v>76</v>
      </c>
      <c r="N7" s="8" t="s">
        <v>28</v>
      </c>
      <c r="O7" s="11" t="s">
        <v>77</v>
      </c>
      <c r="P7" s="10" t="s">
        <v>30</v>
      </c>
    </row>
    <row r="8">
      <c r="A8" s="2" t="s">
        <v>78</v>
      </c>
      <c r="B8" s="3" t="s">
        <v>17</v>
      </c>
      <c r="C8" s="4" t="s">
        <v>79</v>
      </c>
      <c r="D8" s="5" t="s">
        <v>80</v>
      </c>
      <c r="E8" s="5" t="s">
        <v>81</v>
      </c>
      <c r="F8" s="4" t="s">
        <v>82</v>
      </c>
      <c r="G8" s="4" t="s">
        <v>83</v>
      </c>
      <c r="H8" s="2" t="s">
        <v>35</v>
      </c>
      <c r="I8" s="4" t="s">
        <v>36</v>
      </c>
      <c r="J8" s="6">
        <v>7.0</v>
      </c>
      <c r="K8" s="7" t="s">
        <v>84</v>
      </c>
      <c r="L8" s="8" t="s">
        <v>85</v>
      </c>
      <c r="M8" s="8" t="s">
        <v>86</v>
      </c>
      <c r="N8" s="8" t="s">
        <v>28</v>
      </c>
      <c r="O8" s="4" t="s">
        <v>87</v>
      </c>
      <c r="P8" s="2" t="s">
        <v>30</v>
      </c>
    </row>
    <row r="9">
      <c r="A9" s="2" t="s">
        <v>88</v>
      </c>
      <c r="B9" s="3" t="s">
        <v>17</v>
      </c>
      <c r="C9" s="4" t="s">
        <v>89</v>
      </c>
      <c r="D9" s="5"/>
      <c r="E9" s="5"/>
      <c r="F9" s="4" t="s">
        <v>90</v>
      </c>
      <c r="G9" s="4" t="s">
        <v>91</v>
      </c>
      <c r="H9" s="2" t="s">
        <v>35</v>
      </c>
      <c r="I9" s="4" t="s">
        <v>92</v>
      </c>
      <c r="J9" s="6">
        <v>3.0</v>
      </c>
      <c r="K9" s="7" t="s">
        <v>93</v>
      </c>
      <c r="L9" s="8" t="s">
        <v>94</v>
      </c>
      <c r="M9" s="8" t="s">
        <v>95</v>
      </c>
      <c r="N9" s="8" t="s">
        <v>28</v>
      </c>
      <c r="O9" s="4" t="s">
        <v>96</v>
      </c>
      <c r="P9" s="2" t="s">
        <v>30</v>
      </c>
    </row>
    <row r="10">
      <c r="A10" s="2" t="s">
        <v>97</v>
      </c>
      <c r="B10" s="3" t="s">
        <v>17</v>
      </c>
      <c r="C10" s="4" t="s">
        <v>98</v>
      </c>
      <c r="D10" s="5" t="s">
        <v>99</v>
      </c>
      <c r="E10" s="5" t="s">
        <v>100</v>
      </c>
      <c r="F10" s="4" t="s">
        <v>101</v>
      </c>
      <c r="G10" s="4" t="s">
        <v>34</v>
      </c>
      <c r="H10" s="2" t="s">
        <v>35</v>
      </c>
      <c r="I10" s="4" t="s">
        <v>24</v>
      </c>
      <c r="J10" s="6">
        <v>3.0</v>
      </c>
      <c r="K10" s="7" t="s">
        <v>102</v>
      </c>
      <c r="L10" s="8"/>
      <c r="M10" s="8"/>
      <c r="N10" s="8" t="s">
        <v>28</v>
      </c>
      <c r="O10" s="4" t="s">
        <v>103</v>
      </c>
      <c r="P10" s="2" t="s">
        <v>30</v>
      </c>
    </row>
    <row r="11">
      <c r="A11" s="10" t="s">
        <v>104</v>
      </c>
      <c r="B11" s="3" t="s">
        <v>17</v>
      </c>
      <c r="C11" s="11" t="s">
        <v>105</v>
      </c>
      <c r="D11" s="12" t="s">
        <v>106</v>
      </c>
      <c r="E11" s="12" t="s">
        <v>107</v>
      </c>
      <c r="F11" s="11" t="s">
        <v>108</v>
      </c>
      <c r="G11" s="11" t="s">
        <v>45</v>
      </c>
      <c r="H11" s="10" t="s">
        <v>35</v>
      </c>
      <c r="I11" s="11" t="s">
        <v>24</v>
      </c>
      <c r="J11" s="6">
        <v>4.0</v>
      </c>
      <c r="K11" s="7" t="s">
        <v>109</v>
      </c>
      <c r="L11" s="8" t="s">
        <v>110</v>
      </c>
      <c r="M11" s="8" t="s">
        <v>111</v>
      </c>
      <c r="N11" s="8" t="s">
        <v>28</v>
      </c>
      <c r="O11" s="11" t="s">
        <v>112</v>
      </c>
      <c r="P11" s="10" t="s">
        <v>30</v>
      </c>
    </row>
    <row r="12">
      <c r="A12" s="10" t="s">
        <v>113</v>
      </c>
      <c r="B12" s="3" t="s">
        <v>17</v>
      </c>
      <c r="C12" s="11" t="s">
        <v>114</v>
      </c>
      <c r="D12" s="12" t="s">
        <v>80</v>
      </c>
      <c r="E12" s="12" t="s">
        <v>81</v>
      </c>
      <c r="F12" s="11" t="s">
        <v>115</v>
      </c>
      <c r="G12" s="11" t="s">
        <v>34</v>
      </c>
      <c r="H12" s="10" t="s">
        <v>35</v>
      </c>
      <c r="I12" s="11" t="s">
        <v>116</v>
      </c>
      <c r="J12" s="6">
        <v>9.0</v>
      </c>
      <c r="K12" s="7" t="s">
        <v>117</v>
      </c>
      <c r="L12" s="8" t="s">
        <v>118</v>
      </c>
      <c r="M12" s="8" t="s">
        <v>119</v>
      </c>
      <c r="N12" s="8" t="s">
        <v>28</v>
      </c>
      <c r="O12" s="11" t="s">
        <v>120</v>
      </c>
      <c r="P12" s="10" t="s">
        <v>30</v>
      </c>
    </row>
    <row r="13">
      <c r="A13" s="2" t="s">
        <v>121</v>
      </c>
      <c r="B13" s="3" t="s">
        <v>17</v>
      </c>
      <c r="C13" s="4" t="s">
        <v>122</v>
      </c>
      <c r="D13" s="5" t="s">
        <v>80</v>
      </c>
      <c r="E13" s="5" t="s">
        <v>81</v>
      </c>
      <c r="F13" s="4" t="s">
        <v>33</v>
      </c>
      <c r="G13" s="4" t="s">
        <v>34</v>
      </c>
      <c r="H13" s="2" t="s">
        <v>35</v>
      </c>
      <c r="I13" s="4" t="s">
        <v>36</v>
      </c>
      <c r="J13" s="6">
        <v>3.0</v>
      </c>
      <c r="K13" s="7" t="s">
        <v>123</v>
      </c>
      <c r="L13" s="8" t="s">
        <v>124</v>
      </c>
      <c r="M13" s="8" t="s">
        <v>125</v>
      </c>
      <c r="N13" s="8" t="s">
        <v>28</v>
      </c>
      <c r="O13" s="4" t="s">
        <v>126</v>
      </c>
      <c r="P13" s="2" t="s">
        <v>30</v>
      </c>
    </row>
    <row r="14">
      <c r="A14" s="10" t="s">
        <v>127</v>
      </c>
      <c r="B14" s="3" t="s">
        <v>17</v>
      </c>
      <c r="C14" s="11" t="s">
        <v>128</v>
      </c>
      <c r="D14" s="12" t="s">
        <v>129</v>
      </c>
      <c r="E14" s="12" t="s">
        <v>130</v>
      </c>
      <c r="F14" s="11" t="s">
        <v>131</v>
      </c>
      <c r="G14" s="11" t="s">
        <v>132</v>
      </c>
      <c r="H14" s="10" t="s">
        <v>35</v>
      </c>
      <c r="I14" s="11" t="s">
        <v>74</v>
      </c>
      <c r="J14" s="6">
        <v>2.0</v>
      </c>
      <c r="K14" s="7" t="s">
        <v>133</v>
      </c>
      <c r="L14" s="8" t="s">
        <v>134</v>
      </c>
      <c r="M14" s="8" t="s">
        <v>135</v>
      </c>
      <c r="N14" s="8" t="s">
        <v>28</v>
      </c>
      <c r="O14" s="11" t="s">
        <v>136</v>
      </c>
      <c r="P14" s="10" t="s">
        <v>30</v>
      </c>
    </row>
    <row r="15">
      <c r="A15" s="10" t="s">
        <v>137</v>
      </c>
      <c r="B15" s="3" t="s">
        <v>17</v>
      </c>
      <c r="C15" s="11" t="s">
        <v>138</v>
      </c>
      <c r="D15" s="12" t="s">
        <v>129</v>
      </c>
      <c r="E15" s="12" t="s">
        <v>130</v>
      </c>
      <c r="F15" s="11" t="s">
        <v>131</v>
      </c>
      <c r="G15" s="11" t="s">
        <v>132</v>
      </c>
      <c r="H15" s="10" t="s">
        <v>23</v>
      </c>
      <c r="I15" s="11" t="s">
        <v>24</v>
      </c>
      <c r="J15" s="6">
        <v>3.0</v>
      </c>
      <c r="K15" s="7" t="s">
        <v>139</v>
      </c>
      <c r="L15" s="8"/>
      <c r="M15" s="8"/>
      <c r="N15" s="8" t="s">
        <v>28</v>
      </c>
      <c r="O15" s="11" t="s">
        <v>140</v>
      </c>
      <c r="P15" s="10" t="s">
        <v>30</v>
      </c>
    </row>
    <row r="16">
      <c r="A16" s="10" t="s">
        <v>141</v>
      </c>
      <c r="B16" s="3" t="s">
        <v>17</v>
      </c>
      <c r="C16" s="11" t="s">
        <v>142</v>
      </c>
      <c r="D16" s="12" t="s">
        <v>80</v>
      </c>
      <c r="E16" s="12" t="s">
        <v>81</v>
      </c>
      <c r="F16" s="11" t="s">
        <v>33</v>
      </c>
      <c r="G16" s="11" t="s">
        <v>34</v>
      </c>
      <c r="H16" s="10" t="s">
        <v>35</v>
      </c>
      <c r="I16" s="11" t="s">
        <v>36</v>
      </c>
      <c r="J16" s="6">
        <v>3.0</v>
      </c>
      <c r="K16" s="7" t="s">
        <v>143</v>
      </c>
      <c r="L16" s="8" t="s">
        <v>144</v>
      </c>
      <c r="M16" s="8" t="s">
        <v>145</v>
      </c>
      <c r="N16" s="8" t="s">
        <v>28</v>
      </c>
      <c r="O16" s="11" t="s">
        <v>146</v>
      </c>
      <c r="P16" s="10" t="s">
        <v>30</v>
      </c>
    </row>
    <row r="17">
      <c r="A17" s="10" t="s">
        <v>147</v>
      </c>
      <c r="B17" s="3" t="s">
        <v>17</v>
      </c>
      <c r="C17" s="11" t="s">
        <v>148</v>
      </c>
      <c r="D17" s="12" t="s">
        <v>149</v>
      </c>
      <c r="E17" s="12" t="s">
        <v>150</v>
      </c>
      <c r="F17" s="11" t="s">
        <v>108</v>
      </c>
      <c r="G17" s="11" t="s">
        <v>34</v>
      </c>
      <c r="H17" s="10" t="s">
        <v>35</v>
      </c>
      <c r="I17" s="11" t="s">
        <v>74</v>
      </c>
      <c r="J17" s="6">
        <v>3.0</v>
      </c>
      <c r="K17" s="7" t="s">
        <v>151</v>
      </c>
      <c r="L17" s="8" t="s">
        <v>152</v>
      </c>
      <c r="M17" s="8" t="s">
        <v>153</v>
      </c>
      <c r="N17" s="8" t="s">
        <v>28</v>
      </c>
      <c r="O17" s="11" t="s">
        <v>154</v>
      </c>
      <c r="P17" s="10" t="s">
        <v>30</v>
      </c>
    </row>
    <row r="18">
      <c r="A18" s="2" t="s">
        <v>155</v>
      </c>
      <c r="B18" s="3" t="s">
        <v>17</v>
      </c>
      <c r="C18" s="4" t="s">
        <v>156</v>
      </c>
      <c r="D18" s="5" t="s">
        <v>80</v>
      </c>
      <c r="E18" s="5" t="s">
        <v>81</v>
      </c>
      <c r="F18" s="4" t="s">
        <v>108</v>
      </c>
      <c r="G18" s="4" t="s">
        <v>34</v>
      </c>
      <c r="H18" s="2" t="s">
        <v>35</v>
      </c>
      <c r="I18" s="4" t="s">
        <v>157</v>
      </c>
      <c r="J18" s="6">
        <v>4.0</v>
      </c>
      <c r="K18" s="7" t="s">
        <v>158</v>
      </c>
      <c r="L18" s="8" t="s">
        <v>159</v>
      </c>
      <c r="M18" s="8" t="s">
        <v>160</v>
      </c>
      <c r="N18" s="8" t="s">
        <v>28</v>
      </c>
      <c r="O18" s="4" t="s">
        <v>161</v>
      </c>
      <c r="P18" s="2" t="s">
        <v>30</v>
      </c>
    </row>
    <row r="19">
      <c r="A19" s="10" t="s">
        <v>162</v>
      </c>
      <c r="B19" s="13" t="s">
        <v>163</v>
      </c>
      <c r="C19" s="11" t="s">
        <v>164</v>
      </c>
      <c r="D19" s="12"/>
      <c r="E19" s="12"/>
      <c r="F19" s="11" t="s">
        <v>165</v>
      </c>
      <c r="G19" s="11" t="s">
        <v>165</v>
      </c>
      <c r="H19" s="10" t="s">
        <v>165</v>
      </c>
      <c r="I19" s="11" t="s">
        <v>165</v>
      </c>
      <c r="J19" s="6">
        <v>5.0</v>
      </c>
      <c r="K19" s="7" t="s">
        <v>166</v>
      </c>
      <c r="L19" s="8" t="s">
        <v>167</v>
      </c>
      <c r="M19" s="8" t="s">
        <v>167</v>
      </c>
      <c r="N19" s="8" t="s">
        <v>28</v>
      </c>
      <c r="O19" s="11" t="s">
        <v>168</v>
      </c>
      <c r="P19" s="10" t="s">
        <v>30</v>
      </c>
    </row>
    <row r="20">
      <c r="A20" s="2" t="s">
        <v>169</v>
      </c>
      <c r="B20" s="3" t="s">
        <v>17</v>
      </c>
      <c r="C20" s="4" t="s">
        <v>170</v>
      </c>
      <c r="D20" s="5" t="s">
        <v>171</v>
      </c>
      <c r="E20" s="5" t="s">
        <v>172</v>
      </c>
      <c r="F20" s="4" t="s">
        <v>33</v>
      </c>
      <c r="G20" s="4" t="s">
        <v>45</v>
      </c>
      <c r="H20" s="2" t="s">
        <v>23</v>
      </c>
      <c r="I20" s="4" t="s">
        <v>57</v>
      </c>
      <c r="J20" s="6">
        <v>3.0</v>
      </c>
      <c r="K20" s="7" t="s">
        <v>173</v>
      </c>
      <c r="L20" s="8" t="s">
        <v>174</v>
      </c>
      <c r="M20" s="8" t="s">
        <v>175</v>
      </c>
      <c r="N20" s="8" t="s">
        <v>28</v>
      </c>
      <c r="O20" s="4" t="s">
        <v>176</v>
      </c>
      <c r="P20" s="2" t="s">
        <v>30</v>
      </c>
    </row>
    <row r="21" ht="15.75" customHeight="1">
      <c r="A21" s="10" t="s">
        <v>177</v>
      </c>
      <c r="B21" s="3" t="s">
        <v>17</v>
      </c>
      <c r="C21" s="11" t="s">
        <v>178</v>
      </c>
      <c r="D21" s="12" t="s">
        <v>179</v>
      </c>
      <c r="E21" s="12" t="s">
        <v>180</v>
      </c>
      <c r="F21" s="11" t="s">
        <v>82</v>
      </c>
      <c r="G21" s="11" t="s">
        <v>22</v>
      </c>
      <c r="H21" s="10" t="s">
        <v>35</v>
      </c>
      <c r="I21" s="11" t="s">
        <v>36</v>
      </c>
      <c r="J21" s="6">
        <v>4.0</v>
      </c>
      <c r="K21" s="7" t="s">
        <v>181</v>
      </c>
      <c r="L21" s="8" t="s">
        <v>182</v>
      </c>
      <c r="M21" s="8" t="s">
        <v>183</v>
      </c>
      <c r="N21" s="8" t="s">
        <v>28</v>
      </c>
      <c r="O21" s="11" t="s">
        <v>184</v>
      </c>
      <c r="P21" s="10" t="s">
        <v>30</v>
      </c>
    </row>
    <row r="22" ht="15.75" customHeight="1">
      <c r="A22" s="10" t="s">
        <v>185</v>
      </c>
      <c r="B22" s="3" t="s">
        <v>17</v>
      </c>
      <c r="C22" s="11" t="s">
        <v>186</v>
      </c>
      <c r="D22" s="12" t="s">
        <v>187</v>
      </c>
      <c r="E22" s="12" t="s">
        <v>188</v>
      </c>
      <c r="F22" s="11" t="s">
        <v>189</v>
      </c>
      <c r="G22" s="11" t="s">
        <v>190</v>
      </c>
      <c r="H22" s="10" t="s">
        <v>35</v>
      </c>
      <c r="I22" s="14">
        <v>12.0</v>
      </c>
      <c r="J22" s="6">
        <v>6.0</v>
      </c>
      <c r="K22" s="7" t="s">
        <v>191</v>
      </c>
      <c r="L22" s="8" t="s">
        <v>192</v>
      </c>
      <c r="M22" s="8" t="s">
        <v>192</v>
      </c>
      <c r="N22" s="8" t="s">
        <v>28</v>
      </c>
      <c r="O22" s="11" t="s">
        <v>193</v>
      </c>
      <c r="P22" s="10" t="s">
        <v>30</v>
      </c>
    </row>
    <row r="23" ht="15.75" customHeight="1">
      <c r="A23" s="2" t="s">
        <v>194</v>
      </c>
      <c r="B23" s="3" t="s">
        <v>17</v>
      </c>
      <c r="C23" s="4" t="s">
        <v>195</v>
      </c>
      <c r="D23" s="5" t="s">
        <v>196</v>
      </c>
      <c r="E23" s="5" t="s">
        <v>197</v>
      </c>
      <c r="F23" s="4" t="s">
        <v>198</v>
      </c>
      <c r="G23" s="4" t="s">
        <v>66</v>
      </c>
      <c r="H23" s="2" t="s">
        <v>23</v>
      </c>
      <c r="I23" s="4" t="s">
        <v>24</v>
      </c>
      <c r="J23" s="6">
        <v>4.0</v>
      </c>
      <c r="K23" s="7" t="s">
        <v>199</v>
      </c>
      <c r="L23" s="8"/>
      <c r="M23" s="8"/>
      <c r="N23" s="8" t="s">
        <v>28</v>
      </c>
      <c r="O23" s="4" t="s">
        <v>200</v>
      </c>
      <c r="P23" s="2" t="s">
        <v>30</v>
      </c>
    </row>
    <row r="24" ht="15.75" customHeight="1">
      <c r="A24" s="10" t="s">
        <v>201</v>
      </c>
      <c r="B24" s="3" t="s">
        <v>17</v>
      </c>
      <c r="C24" s="11" t="s">
        <v>202</v>
      </c>
      <c r="D24" s="12" t="s">
        <v>203</v>
      </c>
      <c r="E24" s="12" t="s">
        <v>204</v>
      </c>
      <c r="F24" s="11" t="s">
        <v>55</v>
      </c>
      <c r="G24" s="11" t="s">
        <v>22</v>
      </c>
      <c r="H24" s="10" t="s">
        <v>57</v>
      </c>
      <c r="I24" s="11" t="s">
        <v>24</v>
      </c>
      <c r="J24" s="6">
        <v>4.0</v>
      </c>
      <c r="K24" s="7" t="s">
        <v>205</v>
      </c>
      <c r="L24" s="8" t="s">
        <v>206</v>
      </c>
      <c r="M24" s="8" t="s">
        <v>207</v>
      </c>
      <c r="N24" s="8" t="s">
        <v>28</v>
      </c>
      <c r="O24" s="11" t="s">
        <v>208</v>
      </c>
      <c r="P24" s="10" t="s">
        <v>30</v>
      </c>
    </row>
    <row r="25" ht="15.75" customHeight="1">
      <c r="A25" s="2" t="s">
        <v>209</v>
      </c>
      <c r="B25" s="3" t="s">
        <v>17</v>
      </c>
      <c r="C25" s="4" t="s">
        <v>210</v>
      </c>
      <c r="D25" s="5" t="s">
        <v>211</v>
      </c>
      <c r="E25" s="5" t="s">
        <v>212</v>
      </c>
      <c r="F25" s="4" t="s">
        <v>108</v>
      </c>
      <c r="G25" s="4" t="s">
        <v>132</v>
      </c>
      <c r="H25" s="2" t="s">
        <v>35</v>
      </c>
      <c r="I25" s="4" t="s">
        <v>36</v>
      </c>
      <c r="J25" s="6">
        <v>4.0</v>
      </c>
      <c r="K25" s="7" t="s">
        <v>213</v>
      </c>
      <c r="L25" s="8" t="s">
        <v>214</v>
      </c>
      <c r="M25" s="8" t="s">
        <v>215</v>
      </c>
      <c r="N25" s="8" t="s">
        <v>28</v>
      </c>
      <c r="O25" s="4" t="s">
        <v>216</v>
      </c>
      <c r="P25" s="2" t="s">
        <v>30</v>
      </c>
    </row>
    <row r="26" ht="15.75" customHeight="1">
      <c r="A26" s="2" t="s">
        <v>217</v>
      </c>
      <c r="B26" s="3" t="s">
        <v>17</v>
      </c>
      <c r="C26" s="4" t="s">
        <v>218</v>
      </c>
      <c r="D26" s="5" t="s">
        <v>219</v>
      </c>
      <c r="E26" s="5" t="s">
        <v>81</v>
      </c>
      <c r="F26" s="4" t="s">
        <v>33</v>
      </c>
      <c r="G26" s="4" t="s">
        <v>34</v>
      </c>
      <c r="H26" s="2" t="s">
        <v>35</v>
      </c>
      <c r="I26" s="4" t="s">
        <v>220</v>
      </c>
      <c r="J26" s="6">
        <v>3.0</v>
      </c>
      <c r="K26" s="7" t="s">
        <v>221</v>
      </c>
      <c r="L26" s="8" t="s">
        <v>222</v>
      </c>
      <c r="M26" s="8" t="s">
        <v>223</v>
      </c>
      <c r="N26" s="8" t="s">
        <v>28</v>
      </c>
      <c r="O26" s="4" t="s">
        <v>224</v>
      </c>
      <c r="P26" s="2" t="s">
        <v>30</v>
      </c>
    </row>
    <row r="27" ht="15.75" customHeight="1">
      <c r="A27" s="2" t="s">
        <v>225</v>
      </c>
      <c r="B27" s="3" t="s">
        <v>17</v>
      </c>
      <c r="C27" s="4" t="s">
        <v>226</v>
      </c>
      <c r="D27" s="5" t="s">
        <v>149</v>
      </c>
      <c r="E27" s="5" t="s">
        <v>227</v>
      </c>
      <c r="F27" s="4" t="s">
        <v>108</v>
      </c>
      <c r="G27" s="4" t="s">
        <v>45</v>
      </c>
      <c r="H27" s="2" t="s">
        <v>23</v>
      </c>
      <c r="I27" s="4" t="s">
        <v>157</v>
      </c>
      <c r="J27" s="6">
        <v>3.0</v>
      </c>
      <c r="K27" s="7" t="s">
        <v>228</v>
      </c>
      <c r="L27" s="8" t="s">
        <v>229</v>
      </c>
      <c r="M27" s="8" t="s">
        <v>230</v>
      </c>
      <c r="N27" s="8" t="s">
        <v>28</v>
      </c>
      <c r="O27" s="4" t="s">
        <v>231</v>
      </c>
      <c r="P27" s="2" t="s">
        <v>30</v>
      </c>
    </row>
    <row r="28" ht="15.75" customHeight="1">
      <c r="A28" s="10" t="s">
        <v>232</v>
      </c>
      <c r="B28" s="3" t="s">
        <v>17</v>
      </c>
      <c r="C28" s="11" t="s">
        <v>233</v>
      </c>
      <c r="D28" s="12" t="s">
        <v>234</v>
      </c>
      <c r="E28" s="12" t="s">
        <v>235</v>
      </c>
      <c r="F28" s="11" t="s">
        <v>33</v>
      </c>
      <c r="G28" s="11" t="s">
        <v>132</v>
      </c>
      <c r="H28" s="10" t="s">
        <v>35</v>
      </c>
      <c r="I28" s="11" t="s">
        <v>74</v>
      </c>
      <c r="J28" s="6">
        <v>4.0</v>
      </c>
      <c r="K28" s="7" t="s">
        <v>236</v>
      </c>
      <c r="L28" s="8" t="s">
        <v>237</v>
      </c>
      <c r="M28" s="8" t="s">
        <v>238</v>
      </c>
      <c r="N28" s="8" t="s">
        <v>28</v>
      </c>
      <c r="O28" s="11" t="s">
        <v>239</v>
      </c>
      <c r="P28" s="10" t="s">
        <v>30</v>
      </c>
    </row>
    <row r="29" ht="15.75" customHeight="1">
      <c r="A29" s="10" t="s">
        <v>240</v>
      </c>
      <c r="B29" s="3" t="s">
        <v>17</v>
      </c>
      <c r="C29" s="11" t="s">
        <v>241</v>
      </c>
      <c r="D29" s="12" t="s">
        <v>80</v>
      </c>
      <c r="E29" s="12" t="s">
        <v>81</v>
      </c>
      <c r="F29" s="11" t="s">
        <v>33</v>
      </c>
      <c r="G29" s="11" t="s">
        <v>34</v>
      </c>
      <c r="H29" s="10" t="s">
        <v>35</v>
      </c>
      <c r="I29" s="11" t="s">
        <v>157</v>
      </c>
      <c r="J29" s="6">
        <v>2.0</v>
      </c>
      <c r="K29" s="7" t="s">
        <v>242</v>
      </c>
      <c r="L29" s="8" t="s">
        <v>243</v>
      </c>
      <c r="M29" s="8" t="s">
        <v>244</v>
      </c>
      <c r="N29" s="8" t="s">
        <v>28</v>
      </c>
      <c r="O29" s="11" t="s">
        <v>245</v>
      </c>
      <c r="P29" s="10" t="s">
        <v>30</v>
      </c>
    </row>
    <row r="30" ht="15.75" customHeight="1">
      <c r="A30" s="10" t="s">
        <v>246</v>
      </c>
      <c r="B30" s="3" t="s">
        <v>17</v>
      </c>
      <c r="C30" s="11" t="s">
        <v>247</v>
      </c>
      <c r="D30" s="12" t="s">
        <v>248</v>
      </c>
      <c r="E30" s="12" t="s">
        <v>249</v>
      </c>
      <c r="F30" s="11" t="s">
        <v>108</v>
      </c>
      <c r="G30" s="11" t="s">
        <v>34</v>
      </c>
      <c r="H30" s="10" t="s">
        <v>23</v>
      </c>
      <c r="I30" s="11" t="s">
        <v>74</v>
      </c>
      <c r="J30" s="6">
        <v>3.0</v>
      </c>
      <c r="K30" s="7" t="s">
        <v>250</v>
      </c>
      <c r="L30" s="8"/>
      <c r="M30" s="8"/>
      <c r="N30" s="8" t="s">
        <v>28</v>
      </c>
      <c r="O30" s="11" t="s">
        <v>251</v>
      </c>
      <c r="P30" s="10" t="s">
        <v>30</v>
      </c>
    </row>
    <row r="31" ht="15.75" customHeight="1">
      <c r="A31" s="2" t="s">
        <v>252</v>
      </c>
      <c r="B31" s="3" t="s">
        <v>17</v>
      </c>
      <c r="C31" s="4" t="s">
        <v>253</v>
      </c>
      <c r="D31" s="5" t="s">
        <v>254</v>
      </c>
      <c r="E31" s="5" t="s">
        <v>255</v>
      </c>
      <c r="F31" s="4" t="s">
        <v>82</v>
      </c>
      <c r="G31" s="4" t="s">
        <v>83</v>
      </c>
      <c r="H31" s="2" t="s">
        <v>35</v>
      </c>
      <c r="I31" s="4" t="s">
        <v>36</v>
      </c>
      <c r="J31" s="6">
        <v>9.0</v>
      </c>
      <c r="K31" s="7" t="s">
        <v>256</v>
      </c>
      <c r="L31" s="8" t="s">
        <v>257</v>
      </c>
      <c r="M31" s="8" t="s">
        <v>258</v>
      </c>
      <c r="N31" s="8" t="s">
        <v>28</v>
      </c>
      <c r="O31" s="4" t="s">
        <v>259</v>
      </c>
      <c r="P31" s="2" t="s">
        <v>30</v>
      </c>
    </row>
    <row r="32" ht="15.75" customHeight="1">
      <c r="A32" s="2" t="s">
        <v>260</v>
      </c>
      <c r="B32" s="3" t="s">
        <v>17</v>
      </c>
      <c r="C32" s="4" t="s">
        <v>261</v>
      </c>
      <c r="D32" s="5" t="s">
        <v>80</v>
      </c>
      <c r="E32" s="5" t="s">
        <v>81</v>
      </c>
      <c r="F32" s="4" t="s">
        <v>33</v>
      </c>
      <c r="G32" s="4" t="s">
        <v>34</v>
      </c>
      <c r="H32" s="2" t="s">
        <v>35</v>
      </c>
      <c r="I32" s="4" t="s">
        <v>36</v>
      </c>
      <c r="J32" s="6">
        <v>3.0</v>
      </c>
      <c r="K32" s="7" t="s">
        <v>262</v>
      </c>
      <c r="L32" s="8"/>
      <c r="M32" s="8"/>
      <c r="N32" s="8" t="s">
        <v>28</v>
      </c>
      <c r="O32" s="4" t="s">
        <v>263</v>
      </c>
      <c r="P32" s="2" t="s">
        <v>30</v>
      </c>
    </row>
    <row r="33" ht="15.75" customHeight="1">
      <c r="A33" s="2" t="s">
        <v>264</v>
      </c>
      <c r="B33" s="3" t="s">
        <v>17</v>
      </c>
      <c r="C33" s="4" t="s">
        <v>265</v>
      </c>
      <c r="D33" s="5" t="s">
        <v>80</v>
      </c>
      <c r="E33" s="5" t="s">
        <v>81</v>
      </c>
      <c r="F33" s="4" t="s">
        <v>165</v>
      </c>
      <c r="G33" s="4" t="s">
        <v>266</v>
      </c>
      <c r="H33" s="2" t="s">
        <v>35</v>
      </c>
      <c r="I33" s="4" t="s">
        <v>165</v>
      </c>
      <c r="J33" s="6">
        <v>4.0</v>
      </c>
      <c r="K33" s="7" t="s">
        <v>267</v>
      </c>
      <c r="L33" s="8" t="s">
        <v>268</v>
      </c>
      <c r="M33" s="8" t="s">
        <v>269</v>
      </c>
      <c r="N33" s="8" t="s">
        <v>28</v>
      </c>
      <c r="O33" s="4" t="s">
        <v>270</v>
      </c>
      <c r="P33" s="2" t="s">
        <v>30</v>
      </c>
    </row>
    <row r="34" ht="15.75" customHeight="1">
      <c r="A34" s="10" t="s">
        <v>271</v>
      </c>
      <c r="B34" s="3" t="s">
        <v>17</v>
      </c>
      <c r="C34" s="11" t="s">
        <v>272</v>
      </c>
      <c r="D34" s="12" t="s">
        <v>273</v>
      </c>
      <c r="E34" s="12" t="s">
        <v>274</v>
      </c>
      <c r="F34" s="11" t="s">
        <v>82</v>
      </c>
      <c r="G34" s="11" t="s">
        <v>83</v>
      </c>
      <c r="H34" s="10" t="s">
        <v>35</v>
      </c>
      <c r="I34" s="11" t="s">
        <v>36</v>
      </c>
      <c r="J34" s="6">
        <v>6.0</v>
      </c>
      <c r="K34" s="7" t="s">
        <v>275</v>
      </c>
      <c r="L34" s="8" t="s">
        <v>276</v>
      </c>
      <c r="M34" s="8" t="s">
        <v>277</v>
      </c>
      <c r="N34" s="8" t="s">
        <v>28</v>
      </c>
      <c r="O34" s="11" t="s">
        <v>278</v>
      </c>
      <c r="P34" s="10" t="s">
        <v>30</v>
      </c>
    </row>
    <row r="35" ht="15.75" customHeight="1">
      <c r="A35" s="10" t="s">
        <v>279</v>
      </c>
      <c r="B35" s="3" t="s">
        <v>17</v>
      </c>
      <c r="C35" s="11" t="s">
        <v>280</v>
      </c>
      <c r="D35" s="12" t="s">
        <v>80</v>
      </c>
      <c r="E35" s="12" t="s">
        <v>81</v>
      </c>
      <c r="F35" s="11" t="s">
        <v>33</v>
      </c>
      <c r="G35" s="11" t="s">
        <v>34</v>
      </c>
      <c r="H35" s="10" t="s">
        <v>35</v>
      </c>
      <c r="I35" s="11"/>
      <c r="J35" s="6">
        <v>4.0</v>
      </c>
      <c r="K35" s="7" t="s">
        <v>281</v>
      </c>
      <c r="L35" s="8" t="s">
        <v>282</v>
      </c>
      <c r="M35" s="8" t="s">
        <v>283</v>
      </c>
      <c r="N35" s="8" t="s">
        <v>28</v>
      </c>
      <c r="O35" s="11" t="s">
        <v>284</v>
      </c>
      <c r="P35" s="10" t="s">
        <v>30</v>
      </c>
    </row>
    <row r="36" ht="15.75" customHeight="1">
      <c r="A36" s="10" t="s">
        <v>285</v>
      </c>
      <c r="B36" s="3" t="s">
        <v>17</v>
      </c>
      <c r="C36" s="11" t="s">
        <v>286</v>
      </c>
      <c r="D36" s="12" t="s">
        <v>287</v>
      </c>
      <c r="E36" s="12" t="s">
        <v>288</v>
      </c>
      <c r="F36" s="11" t="s">
        <v>33</v>
      </c>
      <c r="G36" s="11" t="s">
        <v>34</v>
      </c>
      <c r="H36" s="10" t="s">
        <v>35</v>
      </c>
      <c r="I36" s="11" t="s">
        <v>36</v>
      </c>
      <c r="J36" s="6">
        <v>3.0</v>
      </c>
      <c r="K36" s="7" t="s">
        <v>289</v>
      </c>
      <c r="L36" s="8"/>
      <c r="M36" s="8"/>
      <c r="N36" s="8" t="s">
        <v>28</v>
      </c>
      <c r="O36" s="11" t="s">
        <v>290</v>
      </c>
      <c r="P36" s="10" t="s">
        <v>30</v>
      </c>
    </row>
    <row r="37" ht="15.75" customHeight="1">
      <c r="A37" s="2" t="s">
        <v>291</v>
      </c>
      <c r="B37" s="3" t="s">
        <v>17</v>
      </c>
      <c r="C37" s="4" t="s">
        <v>292</v>
      </c>
      <c r="D37" s="5" t="s">
        <v>293</v>
      </c>
      <c r="E37" s="5" t="s">
        <v>294</v>
      </c>
      <c r="F37" s="4" t="s">
        <v>33</v>
      </c>
      <c r="G37" s="4" t="s">
        <v>132</v>
      </c>
      <c r="H37" s="2" t="s">
        <v>35</v>
      </c>
      <c r="I37" s="4" t="s">
        <v>92</v>
      </c>
      <c r="J37" s="6">
        <v>3.0</v>
      </c>
      <c r="K37" s="7" t="s">
        <v>295</v>
      </c>
      <c r="L37" s="8" t="s">
        <v>296</v>
      </c>
      <c r="M37" s="8" t="s">
        <v>297</v>
      </c>
      <c r="N37" s="8" t="s">
        <v>28</v>
      </c>
      <c r="O37" s="4" t="s">
        <v>298</v>
      </c>
      <c r="P37" s="2" t="s">
        <v>30</v>
      </c>
    </row>
    <row r="38" ht="15.75" customHeight="1">
      <c r="A38" s="10" t="s">
        <v>299</v>
      </c>
      <c r="B38" s="3" t="s">
        <v>17</v>
      </c>
      <c r="C38" s="11" t="s">
        <v>300</v>
      </c>
      <c r="D38" s="12" t="s">
        <v>80</v>
      </c>
      <c r="E38" s="12" t="s">
        <v>301</v>
      </c>
      <c r="F38" s="11" t="s">
        <v>21</v>
      </c>
      <c r="G38" s="11" t="s">
        <v>83</v>
      </c>
      <c r="H38" s="10" t="s">
        <v>35</v>
      </c>
      <c r="I38" s="11" t="s">
        <v>36</v>
      </c>
      <c r="J38" s="6">
        <v>6.0</v>
      </c>
      <c r="K38" s="7" t="s">
        <v>302</v>
      </c>
      <c r="L38" s="8"/>
      <c r="M38" s="8"/>
      <c r="N38" s="8" t="s">
        <v>28</v>
      </c>
      <c r="O38" s="11" t="s">
        <v>303</v>
      </c>
      <c r="P38" s="10" t="s">
        <v>30</v>
      </c>
    </row>
    <row r="39" ht="15.75" customHeight="1">
      <c r="A39" s="2" t="s">
        <v>304</v>
      </c>
      <c r="B39" s="3" t="s">
        <v>17</v>
      </c>
      <c r="C39" s="4" t="s">
        <v>305</v>
      </c>
      <c r="D39" s="5" t="s">
        <v>80</v>
      </c>
      <c r="E39" s="5" t="s">
        <v>81</v>
      </c>
      <c r="F39" s="4" t="s">
        <v>33</v>
      </c>
      <c r="G39" s="4" t="s">
        <v>34</v>
      </c>
      <c r="H39" s="2" t="s">
        <v>35</v>
      </c>
      <c r="I39" s="4" t="s">
        <v>165</v>
      </c>
      <c r="J39" s="6">
        <v>3.0</v>
      </c>
      <c r="K39" s="7" t="s">
        <v>306</v>
      </c>
      <c r="L39" s="8" t="s">
        <v>307</v>
      </c>
      <c r="M39" s="8" t="s">
        <v>308</v>
      </c>
      <c r="N39" s="8" t="s">
        <v>28</v>
      </c>
      <c r="O39" s="4" t="s">
        <v>309</v>
      </c>
      <c r="P39" s="2" t="s">
        <v>30</v>
      </c>
    </row>
    <row r="40" ht="15.75" customHeight="1">
      <c r="A40" s="10" t="s">
        <v>310</v>
      </c>
      <c r="B40" s="3" t="s">
        <v>17</v>
      </c>
      <c r="C40" s="11" t="s">
        <v>311</v>
      </c>
      <c r="D40" s="12" t="s">
        <v>80</v>
      </c>
      <c r="E40" s="12" t="s">
        <v>81</v>
      </c>
      <c r="F40" s="11" t="s">
        <v>33</v>
      </c>
      <c r="G40" s="11" t="s">
        <v>34</v>
      </c>
      <c r="H40" s="10" t="s">
        <v>165</v>
      </c>
      <c r="I40" s="11" t="s">
        <v>157</v>
      </c>
      <c r="J40" s="6">
        <v>3.0</v>
      </c>
      <c r="K40" s="7" t="s">
        <v>312</v>
      </c>
      <c r="L40" s="8" t="s">
        <v>313</v>
      </c>
      <c r="M40" s="8" t="s">
        <v>314</v>
      </c>
      <c r="N40" s="8" t="s">
        <v>28</v>
      </c>
      <c r="O40" s="11" t="s">
        <v>315</v>
      </c>
      <c r="P40" s="10" t="s">
        <v>30</v>
      </c>
    </row>
    <row r="41" ht="15.75" customHeight="1">
      <c r="A41" s="2" t="s">
        <v>316</v>
      </c>
      <c r="B41" s="3" t="s">
        <v>17</v>
      </c>
      <c r="C41" s="4" t="s">
        <v>317</v>
      </c>
      <c r="D41" s="5" t="s">
        <v>318</v>
      </c>
      <c r="E41" s="5" t="s">
        <v>319</v>
      </c>
      <c r="F41" s="4" t="s">
        <v>21</v>
      </c>
      <c r="G41" s="4" t="s">
        <v>266</v>
      </c>
      <c r="H41" s="2" t="s">
        <v>35</v>
      </c>
      <c r="I41" s="4" t="s">
        <v>74</v>
      </c>
      <c r="J41" s="6">
        <v>4.0</v>
      </c>
      <c r="K41" s="7" t="s">
        <v>320</v>
      </c>
      <c r="L41" s="8" t="s">
        <v>321</v>
      </c>
      <c r="M41" s="8" t="s">
        <v>322</v>
      </c>
      <c r="N41" s="8" t="s">
        <v>28</v>
      </c>
      <c r="O41" s="4" t="s">
        <v>323</v>
      </c>
      <c r="P41" s="2" t="s">
        <v>30</v>
      </c>
    </row>
    <row r="42" ht="15.75" customHeight="1">
      <c r="A42" s="2" t="s">
        <v>324</v>
      </c>
      <c r="B42" s="3" t="s">
        <v>17</v>
      </c>
      <c r="C42" s="4" t="s">
        <v>325</v>
      </c>
      <c r="D42" s="5" t="s">
        <v>326</v>
      </c>
      <c r="E42" s="5" t="s">
        <v>327</v>
      </c>
      <c r="F42" s="4" t="s">
        <v>108</v>
      </c>
      <c r="G42" s="4" t="s">
        <v>34</v>
      </c>
      <c r="H42" s="2" t="s">
        <v>35</v>
      </c>
      <c r="I42" s="4"/>
      <c r="J42" s="6">
        <v>3.0</v>
      </c>
      <c r="K42" s="7" t="s">
        <v>328</v>
      </c>
      <c r="L42" s="8"/>
      <c r="M42" s="8"/>
      <c r="N42" s="8" t="s">
        <v>28</v>
      </c>
      <c r="O42" s="4" t="s">
        <v>329</v>
      </c>
      <c r="P42" s="2" t="s">
        <v>30</v>
      </c>
    </row>
    <row r="43" ht="15.75" customHeight="1">
      <c r="A43" s="2" t="s">
        <v>330</v>
      </c>
      <c r="B43" s="3" t="s">
        <v>17</v>
      </c>
      <c r="C43" s="4" t="s">
        <v>331</v>
      </c>
      <c r="D43" s="5" t="s">
        <v>332</v>
      </c>
      <c r="E43" s="5" t="s">
        <v>333</v>
      </c>
      <c r="F43" s="4" t="s">
        <v>131</v>
      </c>
      <c r="G43" s="4" t="s">
        <v>45</v>
      </c>
      <c r="H43" s="2" t="s">
        <v>23</v>
      </c>
      <c r="I43" s="4" t="s">
        <v>24</v>
      </c>
      <c r="J43" s="6">
        <v>6.0</v>
      </c>
      <c r="K43" s="7" t="s">
        <v>334</v>
      </c>
      <c r="L43" s="8" t="s">
        <v>335</v>
      </c>
      <c r="M43" s="8" t="s">
        <v>336</v>
      </c>
      <c r="N43" s="8" t="s">
        <v>28</v>
      </c>
      <c r="O43" s="4" t="s">
        <v>337</v>
      </c>
      <c r="P43" s="2" t="s">
        <v>30</v>
      </c>
    </row>
    <row r="44" ht="15.75" customHeight="1">
      <c r="A44" s="10" t="s">
        <v>338</v>
      </c>
      <c r="B44" s="3" t="s">
        <v>17</v>
      </c>
      <c r="C44" s="11" t="s">
        <v>339</v>
      </c>
      <c r="D44" s="12" t="s">
        <v>340</v>
      </c>
      <c r="E44" s="12" t="s">
        <v>341</v>
      </c>
      <c r="F44" s="11" t="s">
        <v>44</v>
      </c>
      <c r="G44" s="11" t="s">
        <v>132</v>
      </c>
      <c r="H44" s="10" t="s">
        <v>35</v>
      </c>
      <c r="I44" s="11" t="s">
        <v>74</v>
      </c>
      <c r="J44" s="6">
        <v>5.0</v>
      </c>
      <c r="K44" s="7" t="s">
        <v>342</v>
      </c>
      <c r="L44" s="8" t="s">
        <v>343</v>
      </c>
      <c r="M44" s="8" t="s">
        <v>344</v>
      </c>
      <c r="N44" s="8" t="s">
        <v>28</v>
      </c>
      <c r="O44" s="11" t="s">
        <v>345</v>
      </c>
      <c r="P44" s="10" t="s">
        <v>30</v>
      </c>
    </row>
    <row r="45" ht="15.75" customHeight="1">
      <c r="A45" s="2" t="s">
        <v>346</v>
      </c>
      <c r="B45" s="3" t="s">
        <v>17</v>
      </c>
      <c r="C45" s="4" t="s">
        <v>347</v>
      </c>
      <c r="D45" s="5" t="s">
        <v>348</v>
      </c>
      <c r="E45" s="5" t="s">
        <v>349</v>
      </c>
      <c r="F45" s="4" t="s">
        <v>82</v>
      </c>
      <c r="G45" s="4" t="s">
        <v>83</v>
      </c>
      <c r="H45" s="2" t="s">
        <v>35</v>
      </c>
      <c r="I45" s="4" t="s">
        <v>36</v>
      </c>
      <c r="J45" s="6">
        <v>6.0</v>
      </c>
      <c r="K45" s="7" t="s">
        <v>350</v>
      </c>
      <c r="L45" s="8" t="s">
        <v>351</v>
      </c>
      <c r="M45" s="8" t="s">
        <v>352</v>
      </c>
      <c r="N45" s="8" t="s">
        <v>28</v>
      </c>
      <c r="O45" s="4" t="s">
        <v>353</v>
      </c>
      <c r="P45" s="2" t="s">
        <v>30</v>
      </c>
    </row>
    <row r="46" ht="15.75" customHeight="1">
      <c r="A46" s="10" t="s">
        <v>354</v>
      </c>
      <c r="B46" s="3" t="s">
        <v>17</v>
      </c>
      <c r="C46" s="11" t="s">
        <v>355</v>
      </c>
      <c r="D46" s="12" t="s">
        <v>356</v>
      </c>
      <c r="E46" s="12" t="s">
        <v>357</v>
      </c>
      <c r="F46" s="11" t="s">
        <v>189</v>
      </c>
      <c r="G46" s="11" t="s">
        <v>83</v>
      </c>
      <c r="H46" s="10" t="s">
        <v>358</v>
      </c>
      <c r="I46" s="11" t="s">
        <v>74</v>
      </c>
      <c r="J46" s="6">
        <v>4.0</v>
      </c>
      <c r="K46" s="7" t="s">
        <v>359</v>
      </c>
      <c r="L46" s="8" t="s">
        <v>360</v>
      </c>
      <c r="M46" s="8" t="s">
        <v>361</v>
      </c>
      <c r="N46" s="8" t="s">
        <v>28</v>
      </c>
      <c r="O46" s="11" t="s">
        <v>362</v>
      </c>
      <c r="P46" s="10" t="s">
        <v>30</v>
      </c>
    </row>
    <row r="47" ht="15.75" customHeight="1">
      <c r="A47" s="10" t="s">
        <v>363</v>
      </c>
      <c r="B47" s="3" t="s">
        <v>17</v>
      </c>
      <c r="C47" s="11" t="s">
        <v>355</v>
      </c>
      <c r="D47" s="12" t="s">
        <v>356</v>
      </c>
      <c r="E47" s="12" t="s">
        <v>357</v>
      </c>
      <c r="F47" s="11" t="s">
        <v>115</v>
      </c>
      <c r="G47" s="11" t="s">
        <v>364</v>
      </c>
      <c r="H47" s="10" t="s">
        <v>358</v>
      </c>
      <c r="I47" s="11" t="s">
        <v>365</v>
      </c>
      <c r="J47" s="6">
        <v>3.0</v>
      </c>
      <c r="K47" s="7" t="s">
        <v>366</v>
      </c>
      <c r="L47" s="8" t="s">
        <v>367</v>
      </c>
      <c r="M47" s="8" t="s">
        <v>368</v>
      </c>
      <c r="N47" s="8" t="s">
        <v>28</v>
      </c>
      <c r="O47" s="11" t="s">
        <v>369</v>
      </c>
      <c r="P47" s="10" t="s">
        <v>30</v>
      </c>
    </row>
    <row r="48" ht="15.75" customHeight="1">
      <c r="A48" s="10" t="s">
        <v>370</v>
      </c>
      <c r="B48" s="3" t="s">
        <v>17</v>
      </c>
      <c r="C48" s="11" t="s">
        <v>371</v>
      </c>
      <c r="D48" s="12" t="s">
        <v>80</v>
      </c>
      <c r="E48" s="12" t="s">
        <v>81</v>
      </c>
      <c r="F48" s="11" t="s">
        <v>108</v>
      </c>
      <c r="G48" s="11" t="s">
        <v>34</v>
      </c>
      <c r="H48" s="10" t="s">
        <v>35</v>
      </c>
      <c r="I48" s="11" t="s">
        <v>36</v>
      </c>
      <c r="J48" s="6">
        <v>3.0</v>
      </c>
      <c r="K48" s="7" t="s">
        <v>372</v>
      </c>
      <c r="L48" s="8" t="s">
        <v>373</v>
      </c>
      <c r="M48" s="8" t="s">
        <v>374</v>
      </c>
      <c r="N48" s="8" t="s">
        <v>28</v>
      </c>
      <c r="O48" s="11" t="s">
        <v>375</v>
      </c>
      <c r="P48" s="10" t="s">
        <v>30</v>
      </c>
    </row>
    <row r="49" ht="15.75" customHeight="1">
      <c r="A49" s="10" t="s">
        <v>376</v>
      </c>
      <c r="B49" s="3" t="s">
        <v>17</v>
      </c>
      <c r="C49" s="11" t="s">
        <v>377</v>
      </c>
      <c r="D49" s="12" t="s">
        <v>80</v>
      </c>
      <c r="E49" s="12" t="s">
        <v>81</v>
      </c>
      <c r="F49" s="11" t="s">
        <v>33</v>
      </c>
      <c r="G49" s="11" t="s">
        <v>132</v>
      </c>
      <c r="H49" s="10" t="s">
        <v>35</v>
      </c>
      <c r="I49" s="14" t="s">
        <v>378</v>
      </c>
      <c r="J49" s="6">
        <v>3.0</v>
      </c>
      <c r="K49" s="7" t="s">
        <v>379</v>
      </c>
      <c r="L49" s="8" t="s">
        <v>380</v>
      </c>
      <c r="M49" s="8" t="s">
        <v>381</v>
      </c>
      <c r="N49" s="8" t="s">
        <v>28</v>
      </c>
      <c r="O49" s="11" t="s">
        <v>382</v>
      </c>
      <c r="P49" s="10" t="s">
        <v>30</v>
      </c>
    </row>
    <row r="50" ht="15.75" customHeight="1">
      <c r="A50" s="2" t="s">
        <v>383</v>
      </c>
      <c r="B50" s="3" t="s">
        <v>17</v>
      </c>
      <c r="C50" s="4" t="s">
        <v>384</v>
      </c>
      <c r="D50" s="5" t="s">
        <v>80</v>
      </c>
      <c r="E50" s="5" t="s">
        <v>81</v>
      </c>
      <c r="F50" s="4" t="s">
        <v>82</v>
      </c>
      <c r="G50" s="4" t="s">
        <v>83</v>
      </c>
      <c r="H50" s="2" t="s">
        <v>35</v>
      </c>
      <c r="I50" s="4" t="s">
        <v>36</v>
      </c>
      <c r="J50" s="6">
        <v>5.0</v>
      </c>
      <c r="K50" s="7" t="s">
        <v>385</v>
      </c>
      <c r="L50" s="8" t="s">
        <v>386</v>
      </c>
      <c r="M50" s="8" t="s">
        <v>387</v>
      </c>
      <c r="N50" s="8" t="s">
        <v>28</v>
      </c>
      <c r="O50" s="4" t="s">
        <v>388</v>
      </c>
      <c r="P50" s="2" t="s">
        <v>30</v>
      </c>
    </row>
    <row r="51" ht="15.75" customHeight="1">
      <c r="A51" s="2" t="s">
        <v>389</v>
      </c>
      <c r="B51" s="3" t="s">
        <v>17</v>
      </c>
      <c r="C51" s="4" t="s">
        <v>390</v>
      </c>
      <c r="D51" s="5" t="s">
        <v>391</v>
      </c>
      <c r="E51" s="5" t="s">
        <v>392</v>
      </c>
      <c r="F51" s="4" t="s">
        <v>163</v>
      </c>
      <c r="G51" s="4" t="s">
        <v>163</v>
      </c>
      <c r="H51" s="2" t="s">
        <v>35</v>
      </c>
      <c r="I51" s="4" t="s">
        <v>163</v>
      </c>
      <c r="J51" s="6">
        <v>2.0</v>
      </c>
      <c r="K51" s="7" t="s">
        <v>393</v>
      </c>
      <c r="L51" s="8" t="s">
        <v>394</v>
      </c>
      <c r="M51" s="8" t="s">
        <v>394</v>
      </c>
      <c r="N51" s="8" t="s">
        <v>28</v>
      </c>
      <c r="O51" s="4" t="s">
        <v>395</v>
      </c>
      <c r="P51" s="2" t="s">
        <v>30</v>
      </c>
    </row>
    <row r="52" ht="15.75" customHeight="1">
      <c r="A52" s="2" t="s">
        <v>396</v>
      </c>
      <c r="B52" s="3" t="s">
        <v>17</v>
      </c>
      <c r="C52" s="4" t="s">
        <v>397</v>
      </c>
      <c r="D52" s="5" t="s">
        <v>287</v>
      </c>
      <c r="E52" s="5" t="s">
        <v>398</v>
      </c>
      <c r="F52" s="4" t="s">
        <v>33</v>
      </c>
      <c r="G52" s="4" t="s">
        <v>34</v>
      </c>
      <c r="H52" s="2" t="s">
        <v>35</v>
      </c>
      <c r="I52" s="4" t="s">
        <v>165</v>
      </c>
      <c r="J52" s="6">
        <v>3.0</v>
      </c>
      <c r="K52" s="7" t="s">
        <v>399</v>
      </c>
      <c r="L52" s="8" t="s">
        <v>400</v>
      </c>
      <c r="M52" s="8" t="s">
        <v>401</v>
      </c>
      <c r="N52" s="8" t="s">
        <v>28</v>
      </c>
      <c r="O52" s="4" t="s">
        <v>402</v>
      </c>
      <c r="P52" s="2" t="s">
        <v>30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20.0"/>
    <col customWidth="1" min="3" max="26" width="8.71"/>
  </cols>
  <sheetData>
    <row r="1" ht="36.0" customHeight="1">
      <c r="A1" s="1" t="s">
        <v>403</v>
      </c>
      <c r="B1" s="1" t="s">
        <v>404</v>
      </c>
    </row>
    <row r="2">
      <c r="A2" s="6" t="s">
        <v>405</v>
      </c>
      <c r="B2" s="6">
        <v>11.0</v>
      </c>
    </row>
    <row r="3">
      <c r="A3" s="6" t="s">
        <v>406</v>
      </c>
      <c r="B3" s="6">
        <v>10.0</v>
      </c>
    </row>
    <row r="4">
      <c r="A4" s="6" t="s">
        <v>407</v>
      </c>
      <c r="B4" s="6">
        <v>8.0</v>
      </c>
    </row>
    <row r="5">
      <c r="A5" s="6" t="s">
        <v>408</v>
      </c>
      <c r="B5" s="6">
        <v>6.0</v>
      </c>
    </row>
    <row r="6">
      <c r="A6" s="6" t="s">
        <v>409</v>
      </c>
      <c r="B6" s="6">
        <v>6.0</v>
      </c>
    </row>
    <row r="7">
      <c r="A7" s="6" t="s">
        <v>410</v>
      </c>
      <c r="B7" s="6">
        <v>5.0</v>
      </c>
    </row>
    <row r="8">
      <c r="A8" s="6" t="s">
        <v>411</v>
      </c>
      <c r="B8" s="6">
        <v>5.0</v>
      </c>
    </row>
    <row r="9">
      <c r="A9" s="6" t="s">
        <v>412</v>
      </c>
      <c r="B9" s="6">
        <v>4.0</v>
      </c>
    </row>
    <row r="10">
      <c r="A10" s="6" t="s">
        <v>413</v>
      </c>
      <c r="B10" s="6">
        <v>4.0</v>
      </c>
    </row>
    <row r="11">
      <c r="A11" s="6" t="s">
        <v>414</v>
      </c>
      <c r="B11" s="6">
        <v>3.0</v>
      </c>
    </row>
    <row r="12">
      <c r="A12" s="6" t="s">
        <v>415</v>
      </c>
      <c r="B12" s="6">
        <v>3.0</v>
      </c>
    </row>
    <row r="13">
      <c r="A13" s="10" t="s">
        <v>416</v>
      </c>
      <c r="B13" s="10">
        <v>2.0</v>
      </c>
    </row>
    <row r="14">
      <c r="A14" s="2" t="s">
        <v>417</v>
      </c>
      <c r="B14" s="2">
        <v>2.0</v>
      </c>
    </row>
    <row r="15">
      <c r="A15" s="10" t="s">
        <v>418</v>
      </c>
      <c r="B15" s="10">
        <v>2.0</v>
      </c>
    </row>
    <row r="16">
      <c r="A16" s="2" t="s">
        <v>419</v>
      </c>
      <c r="B16" s="2">
        <v>2.0</v>
      </c>
    </row>
    <row r="17">
      <c r="A17" s="10" t="s">
        <v>85</v>
      </c>
      <c r="B17" s="10">
        <v>1.0</v>
      </c>
    </row>
    <row r="18">
      <c r="A18" s="2" t="s">
        <v>420</v>
      </c>
      <c r="B18" s="2">
        <v>1.0</v>
      </c>
    </row>
    <row r="19">
      <c r="A19" s="10" t="s">
        <v>421</v>
      </c>
      <c r="B19" s="10">
        <v>1.0</v>
      </c>
    </row>
    <row r="20">
      <c r="A20" s="2" t="s">
        <v>422</v>
      </c>
      <c r="B20" s="2">
        <v>1.0</v>
      </c>
    </row>
    <row r="21" ht="15.75" customHeight="1">
      <c r="A21" s="10" t="s">
        <v>423</v>
      </c>
      <c r="B21" s="10">
        <v>1.0</v>
      </c>
    </row>
    <row r="22" ht="15.75" customHeight="1">
      <c r="A22" s="2" t="s">
        <v>268</v>
      </c>
      <c r="B22" s="2">
        <v>1.0</v>
      </c>
    </row>
    <row r="23" ht="15.75" customHeight="1">
      <c r="A23" s="10" t="s">
        <v>424</v>
      </c>
      <c r="B23" s="10">
        <v>1.0</v>
      </c>
    </row>
    <row r="24" ht="15.75" customHeight="1">
      <c r="A24" s="2" t="s">
        <v>425</v>
      </c>
      <c r="B24" s="2">
        <v>1.0</v>
      </c>
    </row>
    <row r="25" ht="15.75" customHeight="1">
      <c r="A25" s="10" t="s">
        <v>296</v>
      </c>
      <c r="B25" s="10">
        <v>1.0</v>
      </c>
    </row>
    <row r="26" ht="15.75" customHeight="1">
      <c r="A26" s="2" t="s">
        <v>282</v>
      </c>
      <c r="B26" s="2">
        <v>1.0</v>
      </c>
    </row>
    <row r="27" ht="15.75" customHeight="1">
      <c r="A27" s="10" t="s">
        <v>307</v>
      </c>
      <c r="B27" s="10">
        <v>1.0</v>
      </c>
    </row>
    <row r="28" ht="15.75" customHeight="1">
      <c r="A28" s="2" t="s">
        <v>426</v>
      </c>
      <c r="B28" s="2">
        <v>1.0</v>
      </c>
    </row>
    <row r="29" ht="15.75" customHeight="1">
      <c r="A29" s="10" t="s">
        <v>427</v>
      </c>
      <c r="B29" s="10">
        <v>1.0</v>
      </c>
    </row>
    <row r="30" ht="15.75" customHeight="1">
      <c r="A30" s="2" t="s">
        <v>313</v>
      </c>
      <c r="B30" s="2">
        <v>1.0</v>
      </c>
    </row>
    <row r="31" ht="15.75" customHeight="1">
      <c r="A31" s="10" t="s">
        <v>428</v>
      </c>
      <c r="B31" s="10">
        <v>1.0</v>
      </c>
    </row>
    <row r="32" ht="15.75" customHeight="1">
      <c r="A32" s="2" t="s">
        <v>429</v>
      </c>
      <c r="B32" s="2">
        <v>1.0</v>
      </c>
    </row>
    <row r="33" ht="15.75" customHeight="1">
      <c r="A33" s="10" t="s">
        <v>430</v>
      </c>
      <c r="B33" s="10">
        <v>1.0</v>
      </c>
    </row>
    <row r="34" ht="15.75" customHeight="1">
      <c r="A34" s="2" t="s">
        <v>431</v>
      </c>
      <c r="B34" s="2">
        <v>1.0</v>
      </c>
    </row>
    <row r="35" ht="15.75" customHeight="1">
      <c r="A35" s="10" t="s">
        <v>432</v>
      </c>
      <c r="B35" s="10">
        <v>1.0</v>
      </c>
    </row>
    <row r="36" ht="15.75" customHeight="1">
      <c r="A36" s="2" t="s">
        <v>386</v>
      </c>
      <c r="B36" s="2">
        <v>1.0</v>
      </c>
    </row>
    <row r="37" ht="15.75" customHeight="1">
      <c r="A37" s="10" t="s">
        <v>433</v>
      </c>
      <c r="B37" s="10">
        <v>1.0</v>
      </c>
    </row>
    <row r="38" ht="15.75" customHeight="1">
      <c r="A38" s="2" t="s">
        <v>434</v>
      </c>
      <c r="B38" s="2">
        <v>1.0</v>
      </c>
    </row>
    <row r="39" ht="15.75" customHeight="1">
      <c r="A39" s="10" t="s">
        <v>435</v>
      </c>
      <c r="B39" s="10">
        <v>1.0</v>
      </c>
    </row>
    <row r="40" ht="15.75" customHeight="1">
      <c r="A40" s="2" t="s">
        <v>436</v>
      </c>
      <c r="B40" s="2">
        <v>1.0</v>
      </c>
    </row>
    <row r="41" ht="15.75" customHeight="1">
      <c r="A41" s="10" t="s">
        <v>437</v>
      </c>
      <c r="B41" s="10">
        <v>1.0</v>
      </c>
    </row>
    <row r="42" ht="15.75" customHeight="1">
      <c r="A42" s="2" t="s">
        <v>438</v>
      </c>
      <c r="B42" s="2">
        <v>1.0</v>
      </c>
    </row>
    <row r="43" ht="15.75" customHeight="1">
      <c r="A43" s="10" t="s">
        <v>439</v>
      </c>
      <c r="B43" s="10">
        <v>1.0</v>
      </c>
    </row>
    <row r="44" ht="15.75" customHeight="1">
      <c r="A44" s="2" t="s">
        <v>440</v>
      </c>
      <c r="B44" s="2">
        <v>1.0</v>
      </c>
    </row>
    <row r="45" ht="15.75" customHeight="1">
      <c r="A45" s="10" t="s">
        <v>38</v>
      </c>
      <c r="B45" s="10">
        <v>1.0</v>
      </c>
    </row>
    <row r="46" ht="15.75" customHeight="1">
      <c r="A46" s="2" t="s">
        <v>118</v>
      </c>
      <c r="B46" s="2">
        <v>1.0</v>
      </c>
    </row>
    <row r="47" ht="15.75" customHeight="1">
      <c r="A47" s="10" t="s">
        <v>94</v>
      </c>
      <c r="B47" s="10">
        <v>1.0</v>
      </c>
    </row>
    <row r="48" ht="15.75" customHeight="1">
      <c r="A48" s="2" t="s">
        <v>144</v>
      </c>
      <c r="B48" s="2">
        <v>1.0</v>
      </c>
    </row>
    <row r="49" ht="15.75" customHeight="1">
      <c r="A49" s="10" t="s">
        <v>124</v>
      </c>
      <c r="B49" s="10">
        <v>1.0</v>
      </c>
    </row>
    <row r="50" ht="15.75" customHeight="1">
      <c r="A50" s="2" t="s">
        <v>214</v>
      </c>
      <c r="B50" s="2">
        <v>1.0</v>
      </c>
    </row>
    <row r="51" ht="15.75" customHeight="1">
      <c r="A51" s="10" t="s">
        <v>152</v>
      </c>
      <c r="B51" s="10">
        <v>1.0</v>
      </c>
    </row>
    <row r="52" ht="15.75" customHeight="1">
      <c r="A52" s="2" t="s">
        <v>159</v>
      </c>
      <c r="B52" s="2">
        <v>1.0</v>
      </c>
    </row>
    <row r="53" ht="15.75" customHeight="1">
      <c r="A53" s="10" t="s">
        <v>243</v>
      </c>
      <c r="B53" s="10">
        <v>1.0</v>
      </c>
    </row>
    <row r="54" ht="15.75" customHeight="1">
      <c r="A54" s="2" t="s">
        <v>257</v>
      </c>
      <c r="B54" s="2">
        <v>1.0</v>
      </c>
    </row>
    <row r="55" ht="15.75" customHeight="1">
      <c r="A55" s="10" t="s">
        <v>276</v>
      </c>
      <c r="B55" s="10">
        <v>1.0</v>
      </c>
    </row>
    <row r="56" ht="15.75" customHeight="1">
      <c r="A56" s="2" t="s">
        <v>222</v>
      </c>
      <c r="B56" s="2">
        <v>1.0</v>
      </c>
    </row>
    <row r="57" ht="15.75" customHeight="1">
      <c r="A57" s="10" t="s">
        <v>441</v>
      </c>
      <c r="B57" s="10">
        <v>1.0</v>
      </c>
    </row>
    <row r="58" ht="15.75" customHeight="1">
      <c r="A58" s="2" t="s">
        <v>373</v>
      </c>
      <c r="B58" s="2">
        <v>1.0</v>
      </c>
    </row>
    <row r="59" ht="15.75" customHeight="1">
      <c r="A59" s="10" t="s">
        <v>380</v>
      </c>
      <c r="B59" s="10">
        <v>1.0</v>
      </c>
    </row>
    <row r="60" ht="15.75" customHeight="1">
      <c r="A60" s="2" t="s">
        <v>394</v>
      </c>
      <c r="B60" s="2">
        <v>1.0</v>
      </c>
    </row>
    <row r="61" ht="15.75" customHeight="1">
      <c r="A61" s="10" t="s">
        <v>442</v>
      </c>
      <c r="B61" s="10">
        <v>1.0</v>
      </c>
    </row>
    <row r="62" ht="15.75" customHeight="1">
      <c r="A62" s="2" t="s">
        <v>443</v>
      </c>
      <c r="B62" s="2">
        <v>1.0</v>
      </c>
    </row>
    <row r="63" ht="15.75" customHeight="1">
      <c r="A63" s="10" t="s">
        <v>400</v>
      </c>
      <c r="B63" s="10">
        <v>1.0</v>
      </c>
    </row>
    <row r="64" ht="15.75" customHeight="1">
      <c r="A64" s="2" t="s">
        <v>444</v>
      </c>
      <c r="B64" s="2">
        <v>1.0</v>
      </c>
    </row>
    <row r="65" ht="15.75" customHeight="1">
      <c r="A65" s="10" t="s">
        <v>445</v>
      </c>
      <c r="B65" s="10">
        <v>1.0</v>
      </c>
    </row>
    <row r="66" ht="15.75" customHeight="1">
      <c r="A66" s="2" t="s">
        <v>446</v>
      </c>
      <c r="B66" s="2">
        <v>1.0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26" width="8.71"/>
  </cols>
  <sheetData>
    <row r="1">
      <c r="A1" s="15" t="s">
        <v>447</v>
      </c>
      <c r="B1" s="16"/>
      <c r="C1" s="17"/>
    </row>
    <row r="3">
      <c r="A3" s="18" t="s">
        <v>1</v>
      </c>
      <c r="B3" s="18" t="s">
        <v>448</v>
      </c>
    </row>
    <row r="4">
      <c r="A4" s="3" t="s">
        <v>17</v>
      </c>
      <c r="B4" s="3">
        <v>50.0</v>
      </c>
    </row>
    <row r="5">
      <c r="A5" s="13" t="s">
        <v>163</v>
      </c>
      <c r="B5" s="13">
        <v>1.0</v>
      </c>
    </row>
    <row r="7">
      <c r="A7" s="18" t="s">
        <v>449</v>
      </c>
      <c r="B7" s="18" t="s">
        <v>450</v>
      </c>
    </row>
    <row r="8">
      <c r="A8" s="2" t="s">
        <v>451</v>
      </c>
      <c r="B8" s="5">
        <f>COUNTA('AI + Web Search Data'!A2:A52)</f>
        <v>51</v>
      </c>
    </row>
    <row r="9">
      <c r="A9" s="10" t="s">
        <v>452</v>
      </c>
      <c r="B9" s="12">
        <f>COUNTIF('AI + Web Search Data'!J2:J52, "&gt;0")</f>
        <v>51</v>
      </c>
    </row>
    <row r="10">
      <c r="A10" s="2" t="s">
        <v>453</v>
      </c>
      <c r="B10" s="5">
        <f>SUM('AI + Web Search Data'!J2:J52)</f>
        <v>207</v>
      </c>
    </row>
    <row r="11">
      <c r="A11" s="10" t="s">
        <v>454</v>
      </c>
      <c r="B11" s="12">
        <v>200.0</v>
      </c>
    </row>
    <row r="12">
      <c r="A12" s="2" t="s">
        <v>455</v>
      </c>
      <c r="B12" s="5">
        <v>42.0</v>
      </c>
    </row>
    <row r="13">
      <c r="A13" s="10" t="s">
        <v>456</v>
      </c>
      <c r="B13" s="12">
        <f>ROUND(SUM('AI + Web Search Data'!J2:J52)/COUNTA('AI + Web Search Data'!A2:A52),1)</f>
        <v>4.1</v>
      </c>
    </row>
    <row r="14">
      <c r="A14" s="2" t="s">
        <v>457</v>
      </c>
      <c r="B14" s="5">
        <f>COUNTBLANK('AI + Web Search Data'!D2:D52)</f>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c r="A1" s="15" t="s">
        <v>458</v>
      </c>
      <c r="B1" s="17"/>
    </row>
    <row r="3" ht="72.0" customHeight="1">
      <c r="A3" s="5" t="s">
        <v>459</v>
      </c>
      <c r="B3" s="11" t="s">
        <v>460</v>
      </c>
    </row>
    <row r="4" ht="72.0" customHeight="1">
      <c r="A4" s="5" t="s">
        <v>461</v>
      </c>
      <c r="B4" s="11" t="s">
        <v>462</v>
      </c>
    </row>
    <row r="5" ht="72.0" customHeight="1">
      <c r="A5" s="5" t="s">
        <v>463</v>
      </c>
      <c r="B5" s="11" t="s">
        <v>464</v>
      </c>
    </row>
    <row r="6" ht="72.0" customHeight="1">
      <c r="A6" s="5" t="s">
        <v>465</v>
      </c>
      <c r="B6" s="11" t="s">
        <v>466</v>
      </c>
    </row>
    <row r="7" ht="72.0" customHeight="1">
      <c r="A7" s="5" t="s">
        <v>467</v>
      </c>
      <c r="B7" s="11" t="s">
        <v>468</v>
      </c>
    </row>
    <row r="8" ht="72.0" customHeight="1">
      <c r="A8" s="5" t="s">
        <v>469</v>
      </c>
      <c r="B8" s="11" t="s">
        <v>470</v>
      </c>
    </row>
    <row r="9" ht="72.0" customHeight="1">
      <c r="A9" s="5" t="s">
        <v>471</v>
      </c>
      <c r="B9" s="11" t="s">
        <v>472</v>
      </c>
    </row>
    <row r="10" ht="72.0" customHeight="1">
      <c r="A10" s="5" t="s">
        <v>473</v>
      </c>
      <c r="B10" s="11" t="s">
        <v>474</v>
      </c>
    </row>
    <row r="11" ht="72.0" customHeight="1">
      <c r="A11" s="5" t="s">
        <v>475</v>
      </c>
      <c r="B11" s="11" t="s">
        <v>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34.0"/>
    <col customWidth="1" min="3" max="4" width="10.0"/>
    <col customWidth="1" min="5" max="5" width="22.0"/>
    <col customWidth="1" min="6" max="6" width="28.0"/>
    <col customWidth="1" min="7" max="7" width="20.0"/>
    <col customWidth="1" min="8" max="26" width="8.71"/>
  </cols>
  <sheetData>
    <row r="1">
      <c r="A1" s="19" t="s">
        <v>477</v>
      </c>
    </row>
    <row r="2" ht="42.0" customHeight="1">
      <c r="A2" s="20" t="s">
        <v>478</v>
      </c>
      <c r="B2" s="16"/>
      <c r="C2" s="16"/>
      <c r="D2" s="16"/>
      <c r="E2" s="16"/>
      <c r="F2" s="16"/>
      <c r="G2" s="17"/>
    </row>
    <row r="3" ht="27.75" customHeight="1">
      <c r="A3" s="20" t="s">
        <v>479</v>
      </c>
      <c r="B3" s="16"/>
      <c r="C3" s="16"/>
      <c r="D3" s="16"/>
      <c r="E3" s="16"/>
      <c r="F3" s="16"/>
      <c r="G3" s="17"/>
    </row>
    <row r="5">
      <c r="A5" s="21" t="s">
        <v>0</v>
      </c>
      <c r="B5" s="21" t="s">
        <v>480</v>
      </c>
      <c r="C5" s="21" t="s">
        <v>3</v>
      </c>
      <c r="D5" s="21" t="s">
        <v>4</v>
      </c>
      <c r="E5" s="21" t="s">
        <v>481</v>
      </c>
      <c r="F5" s="21" t="s">
        <v>482</v>
      </c>
      <c r="G5" s="21" t="s">
        <v>483</v>
      </c>
    </row>
    <row r="6">
      <c r="A6" s="22" t="s">
        <v>78</v>
      </c>
      <c r="B6" s="22" t="s">
        <v>484</v>
      </c>
      <c r="C6" s="22">
        <v>5.95</v>
      </c>
      <c r="D6" s="22">
        <v>16.09</v>
      </c>
      <c r="E6" s="22" t="s">
        <v>485</v>
      </c>
      <c r="F6" s="22"/>
      <c r="G6" s="22" t="s">
        <v>486</v>
      </c>
    </row>
    <row r="7">
      <c r="A7" s="22" t="s">
        <v>104</v>
      </c>
      <c r="B7" s="22" t="s">
        <v>487</v>
      </c>
      <c r="C7" s="22">
        <v>6.93</v>
      </c>
      <c r="D7" s="22">
        <v>20.81</v>
      </c>
      <c r="E7" s="22" t="s">
        <v>485</v>
      </c>
      <c r="F7" s="22"/>
      <c r="G7" s="22" t="s">
        <v>486</v>
      </c>
    </row>
    <row r="8">
      <c r="A8" s="22" t="s">
        <v>97</v>
      </c>
      <c r="B8" s="22" t="s">
        <v>488</v>
      </c>
      <c r="C8" s="22">
        <v>6.0</v>
      </c>
      <c r="D8" s="22">
        <v>17.17</v>
      </c>
      <c r="E8" s="22" t="s">
        <v>485</v>
      </c>
      <c r="F8" s="22"/>
      <c r="G8" s="22" t="s">
        <v>486</v>
      </c>
    </row>
    <row r="9">
      <c r="A9" s="22" t="s">
        <v>127</v>
      </c>
      <c r="B9" s="22" t="s">
        <v>489</v>
      </c>
      <c r="C9" s="22">
        <v>6.83</v>
      </c>
      <c r="D9" s="22">
        <v>18.9</v>
      </c>
      <c r="E9" s="22" t="s">
        <v>485</v>
      </c>
      <c r="F9" s="22"/>
      <c r="G9" s="22" t="s">
        <v>486</v>
      </c>
    </row>
    <row r="10">
      <c r="A10" s="22" t="s">
        <v>169</v>
      </c>
      <c r="B10" s="22" t="s">
        <v>490</v>
      </c>
      <c r="C10" s="22">
        <v>6.75</v>
      </c>
      <c r="D10" s="22">
        <v>18.25</v>
      </c>
      <c r="E10" s="22" t="s">
        <v>485</v>
      </c>
      <c r="F10" s="22"/>
      <c r="G10" s="22" t="s">
        <v>486</v>
      </c>
    </row>
    <row r="11">
      <c r="A11" s="22" t="s">
        <v>201</v>
      </c>
      <c r="B11" s="22" t="s">
        <v>491</v>
      </c>
      <c r="C11" s="22">
        <v>5.99</v>
      </c>
      <c r="D11" s="22">
        <v>32.54</v>
      </c>
      <c r="E11" s="22" t="s">
        <v>485</v>
      </c>
      <c r="F11" s="22"/>
      <c r="G11" s="22" t="s">
        <v>486</v>
      </c>
    </row>
    <row r="12">
      <c r="A12" s="22" t="s">
        <v>194</v>
      </c>
      <c r="B12" s="22" t="s">
        <v>492</v>
      </c>
      <c r="C12" s="22">
        <v>9.71</v>
      </c>
      <c r="D12" s="22">
        <v>30.59</v>
      </c>
      <c r="E12" s="22" t="s">
        <v>485</v>
      </c>
      <c r="F12" s="22"/>
      <c r="G12" s="22" t="s">
        <v>486</v>
      </c>
    </row>
    <row r="13">
      <c r="A13" s="22" t="s">
        <v>246</v>
      </c>
      <c r="B13" s="22" t="s">
        <v>493</v>
      </c>
      <c r="C13" s="22">
        <v>6.38</v>
      </c>
      <c r="D13" s="22">
        <v>16.29</v>
      </c>
      <c r="E13" s="22" t="s">
        <v>485</v>
      </c>
      <c r="F13" s="22"/>
      <c r="G13" s="22" t="s">
        <v>486</v>
      </c>
    </row>
    <row r="14">
      <c r="A14" s="22" t="s">
        <v>264</v>
      </c>
      <c r="B14" s="22" t="s">
        <v>484</v>
      </c>
      <c r="C14" s="22">
        <v>5.95</v>
      </c>
      <c r="D14" s="22">
        <v>16.09</v>
      </c>
      <c r="E14" s="22" t="s">
        <v>485</v>
      </c>
      <c r="F14" s="22"/>
      <c r="G14" s="22" t="s">
        <v>486</v>
      </c>
    </row>
    <row r="15">
      <c r="A15" s="22" t="s">
        <v>232</v>
      </c>
      <c r="B15" s="22" t="s">
        <v>494</v>
      </c>
      <c r="C15" s="22">
        <v>4.5</v>
      </c>
      <c r="D15" s="22">
        <v>8.95</v>
      </c>
      <c r="E15" s="22" t="s">
        <v>485</v>
      </c>
      <c r="F15" s="22"/>
      <c r="G15" s="22" t="s">
        <v>486</v>
      </c>
    </row>
    <row r="16">
      <c r="A16" s="22" t="s">
        <v>291</v>
      </c>
      <c r="B16" s="22" t="s">
        <v>495</v>
      </c>
      <c r="C16" s="22">
        <v>6.9</v>
      </c>
      <c r="D16" s="22">
        <v>15.9</v>
      </c>
      <c r="E16" s="22" t="s">
        <v>496</v>
      </c>
      <c r="F16" s="22" t="s">
        <v>497</v>
      </c>
      <c r="G16" s="22" t="s">
        <v>498</v>
      </c>
    </row>
    <row r="17">
      <c r="A17" s="22" t="s">
        <v>279</v>
      </c>
      <c r="B17" s="22" t="s">
        <v>484</v>
      </c>
      <c r="C17" s="22">
        <v>5.95</v>
      </c>
      <c r="D17" s="22">
        <v>16.09</v>
      </c>
      <c r="E17" s="22" t="s">
        <v>485</v>
      </c>
      <c r="F17" s="22"/>
      <c r="G17" s="22" t="s">
        <v>486</v>
      </c>
    </row>
    <row r="18">
      <c r="A18" s="22" t="s">
        <v>304</v>
      </c>
      <c r="B18" s="22" t="s">
        <v>484</v>
      </c>
      <c r="C18" s="22">
        <v>5.95</v>
      </c>
      <c r="D18" s="22">
        <v>16.09</v>
      </c>
      <c r="E18" s="22" t="s">
        <v>485</v>
      </c>
      <c r="F18" s="22"/>
      <c r="G18" s="22" t="s">
        <v>486</v>
      </c>
    </row>
    <row r="19">
      <c r="A19" s="22" t="s">
        <v>299</v>
      </c>
      <c r="B19" s="22" t="s">
        <v>499</v>
      </c>
      <c r="C19" s="22">
        <v>5.95</v>
      </c>
      <c r="D19" s="22">
        <v>17.15</v>
      </c>
      <c r="E19" s="22" t="s">
        <v>485</v>
      </c>
      <c r="F19" s="22"/>
      <c r="G19" s="22" t="s">
        <v>486</v>
      </c>
    </row>
    <row r="20">
      <c r="A20" s="22" t="s">
        <v>330</v>
      </c>
      <c r="B20" s="22" t="s">
        <v>500</v>
      </c>
      <c r="C20" s="22">
        <v>8.87</v>
      </c>
      <c r="D20" s="22">
        <v>29.99</v>
      </c>
      <c r="E20" s="22" t="s">
        <v>485</v>
      </c>
      <c r="F20" s="22"/>
      <c r="G20" s="22" t="s">
        <v>486</v>
      </c>
    </row>
    <row r="21" ht="15.75" customHeight="1">
      <c r="A21" s="22" t="s">
        <v>310</v>
      </c>
      <c r="B21" s="22" t="s">
        <v>484</v>
      </c>
      <c r="C21" s="22">
        <v>5.95</v>
      </c>
      <c r="D21" s="22">
        <v>16.09</v>
      </c>
      <c r="E21" s="22" t="s">
        <v>496</v>
      </c>
      <c r="F21" s="22" t="s">
        <v>501</v>
      </c>
      <c r="G21" s="22" t="s">
        <v>498</v>
      </c>
    </row>
    <row r="22" ht="15.75" customHeight="1">
      <c r="A22" s="22" t="s">
        <v>260</v>
      </c>
      <c r="B22" s="22" t="s">
        <v>484</v>
      </c>
      <c r="C22" s="22">
        <v>5.95</v>
      </c>
      <c r="D22" s="22">
        <v>16.09</v>
      </c>
      <c r="E22" s="22" t="s">
        <v>485</v>
      </c>
      <c r="F22" s="22"/>
      <c r="G22" s="22" t="s">
        <v>486</v>
      </c>
    </row>
    <row r="23" ht="15.75" customHeight="1">
      <c r="A23" s="22" t="s">
        <v>338</v>
      </c>
      <c r="B23" s="22" t="s">
        <v>502</v>
      </c>
      <c r="C23" s="22">
        <v>7.8</v>
      </c>
      <c r="D23" s="22">
        <v>16.08</v>
      </c>
      <c r="E23" s="22" t="s">
        <v>496</v>
      </c>
      <c r="F23" s="22" t="s">
        <v>497</v>
      </c>
      <c r="G23" s="22" t="s">
        <v>498</v>
      </c>
    </row>
    <row r="24" ht="15.75" customHeight="1">
      <c r="A24" s="22" t="s">
        <v>346</v>
      </c>
      <c r="B24" s="22" t="s">
        <v>503</v>
      </c>
      <c r="C24" s="22">
        <v>6.19</v>
      </c>
      <c r="D24" s="22">
        <v>17.49</v>
      </c>
      <c r="E24" s="22" t="s">
        <v>485</v>
      </c>
      <c r="F24" s="22"/>
      <c r="G24" s="22" t="s">
        <v>486</v>
      </c>
    </row>
    <row r="25" ht="15.75" customHeight="1">
      <c r="A25" s="22" t="s">
        <v>354</v>
      </c>
      <c r="B25" s="22" t="s">
        <v>504</v>
      </c>
      <c r="C25" s="22">
        <v>7.51</v>
      </c>
      <c r="D25" s="22">
        <v>28.58</v>
      </c>
      <c r="E25" s="22" t="s">
        <v>485</v>
      </c>
      <c r="F25" s="22"/>
      <c r="G25" s="22" t="s">
        <v>486</v>
      </c>
    </row>
    <row r="26" ht="15.75" customHeight="1">
      <c r="A26" s="22" t="s">
        <v>383</v>
      </c>
      <c r="B26" s="22" t="s">
        <v>484</v>
      </c>
      <c r="C26" s="22">
        <v>5.95</v>
      </c>
      <c r="D26" s="22">
        <v>16.09</v>
      </c>
      <c r="E26" s="22" t="s">
        <v>485</v>
      </c>
      <c r="F26" s="22"/>
      <c r="G26" s="22" t="s">
        <v>486</v>
      </c>
    </row>
    <row r="27" ht="15.75" customHeight="1">
      <c r="A27" s="22" t="s">
        <v>363</v>
      </c>
      <c r="B27" s="22" t="s">
        <v>504</v>
      </c>
      <c r="C27" s="22">
        <v>7.51</v>
      </c>
      <c r="D27" s="22">
        <v>28.58</v>
      </c>
      <c r="E27" s="22" t="s">
        <v>485</v>
      </c>
      <c r="F27" s="22"/>
      <c r="G27" s="22" t="s">
        <v>486</v>
      </c>
    </row>
    <row r="28" ht="15.75" customHeight="1">
      <c r="A28" s="22" t="s">
        <v>16</v>
      </c>
      <c r="B28" s="22" t="s">
        <v>505</v>
      </c>
      <c r="C28" s="22">
        <v>11.15</v>
      </c>
      <c r="D28" s="22">
        <v>29.5</v>
      </c>
      <c r="E28" s="22" t="s">
        <v>485</v>
      </c>
      <c r="F28" s="22"/>
      <c r="G28" s="22" t="s">
        <v>486</v>
      </c>
    </row>
    <row r="29" ht="15.75" customHeight="1">
      <c r="A29" s="22" t="s">
        <v>51</v>
      </c>
      <c r="B29" s="22" t="s">
        <v>506</v>
      </c>
      <c r="C29" s="22">
        <v>4.95</v>
      </c>
      <c r="D29" s="22">
        <v>21.95</v>
      </c>
      <c r="E29" s="22" t="s">
        <v>485</v>
      </c>
      <c r="F29" s="22"/>
      <c r="G29" s="22" t="s">
        <v>486</v>
      </c>
    </row>
    <row r="30" ht="15.75" customHeight="1">
      <c r="A30" s="22" t="s">
        <v>41</v>
      </c>
      <c r="B30" s="22" t="s">
        <v>507</v>
      </c>
      <c r="C30" s="22">
        <v>22.8</v>
      </c>
      <c r="D30" s="22">
        <v>22.8</v>
      </c>
      <c r="E30" s="22" t="s">
        <v>496</v>
      </c>
      <c r="F30" s="22" t="s">
        <v>497</v>
      </c>
      <c r="G30" s="22" t="s">
        <v>498</v>
      </c>
    </row>
    <row r="31" ht="15.75" customHeight="1">
      <c r="A31" s="22" t="s">
        <v>137</v>
      </c>
      <c r="B31" s="22" t="s">
        <v>489</v>
      </c>
      <c r="C31" s="22">
        <v>6.83</v>
      </c>
      <c r="D31" s="22">
        <v>18.9</v>
      </c>
      <c r="E31" s="22" t="s">
        <v>485</v>
      </c>
      <c r="F31" s="22"/>
      <c r="G31" s="22" t="s">
        <v>486</v>
      </c>
    </row>
    <row r="32" ht="15.75" customHeight="1">
      <c r="A32" s="22" t="s">
        <v>61</v>
      </c>
      <c r="B32" s="22" t="s">
        <v>508</v>
      </c>
      <c r="C32" s="22">
        <v>14.82</v>
      </c>
      <c r="D32" s="22">
        <v>29.27</v>
      </c>
      <c r="E32" s="22" t="s">
        <v>485</v>
      </c>
      <c r="F32" s="22"/>
      <c r="G32" s="22" t="s">
        <v>486</v>
      </c>
    </row>
    <row r="33" ht="15.75" customHeight="1">
      <c r="A33" s="22" t="s">
        <v>162</v>
      </c>
      <c r="B33" s="22"/>
      <c r="C33" s="22"/>
      <c r="D33" s="22"/>
      <c r="E33" s="22" t="s">
        <v>485</v>
      </c>
      <c r="F33" s="22"/>
      <c r="G33" s="22" t="s">
        <v>509</v>
      </c>
    </row>
    <row r="34" ht="15.75" customHeight="1">
      <c r="A34" s="22" t="s">
        <v>31</v>
      </c>
      <c r="B34" s="22" t="s">
        <v>510</v>
      </c>
      <c r="C34" s="22"/>
      <c r="D34" s="22"/>
      <c r="E34" s="22" t="s">
        <v>485</v>
      </c>
      <c r="F34" s="22"/>
      <c r="G34" s="22" t="s">
        <v>509</v>
      </c>
    </row>
    <row r="35" ht="15.75" customHeight="1">
      <c r="A35" s="22" t="s">
        <v>113</v>
      </c>
      <c r="B35" s="22" t="s">
        <v>484</v>
      </c>
      <c r="C35" s="22">
        <v>5.95</v>
      </c>
      <c r="D35" s="22">
        <v>16.09</v>
      </c>
      <c r="E35" s="22" t="s">
        <v>485</v>
      </c>
      <c r="F35" s="22"/>
      <c r="G35" s="22" t="s">
        <v>486</v>
      </c>
    </row>
    <row r="36" ht="15.75" customHeight="1">
      <c r="A36" s="22" t="s">
        <v>88</v>
      </c>
      <c r="B36" s="22" t="s">
        <v>511</v>
      </c>
      <c r="C36" s="22"/>
      <c r="D36" s="22"/>
      <c r="E36" s="22" t="s">
        <v>485</v>
      </c>
      <c r="F36" s="22"/>
      <c r="G36" s="22" t="s">
        <v>509</v>
      </c>
    </row>
    <row r="37" ht="15.75" customHeight="1">
      <c r="A37" s="22" t="s">
        <v>141</v>
      </c>
      <c r="B37" s="22" t="s">
        <v>484</v>
      </c>
      <c r="C37" s="22">
        <v>5.95</v>
      </c>
      <c r="D37" s="22">
        <v>16.09</v>
      </c>
      <c r="E37" s="22" t="s">
        <v>485</v>
      </c>
      <c r="F37" s="22"/>
      <c r="G37" s="22" t="s">
        <v>486</v>
      </c>
    </row>
    <row r="38" ht="15.75" customHeight="1">
      <c r="A38" s="22" t="s">
        <v>121</v>
      </c>
      <c r="B38" s="22" t="s">
        <v>484</v>
      </c>
      <c r="C38" s="22">
        <v>5.95</v>
      </c>
      <c r="D38" s="22">
        <v>16.09</v>
      </c>
      <c r="E38" s="22" t="s">
        <v>485</v>
      </c>
      <c r="F38" s="22"/>
      <c r="G38" s="22" t="s">
        <v>486</v>
      </c>
    </row>
    <row r="39" ht="15.75" customHeight="1">
      <c r="A39" s="22" t="s">
        <v>185</v>
      </c>
      <c r="B39" s="22" t="s">
        <v>512</v>
      </c>
      <c r="C39" s="22">
        <v>4.39</v>
      </c>
      <c r="D39" s="22">
        <v>27.1</v>
      </c>
      <c r="E39" s="22" t="s">
        <v>485</v>
      </c>
      <c r="F39" s="22"/>
      <c r="G39" s="22" t="s">
        <v>486</v>
      </c>
    </row>
    <row r="40" ht="15.75" customHeight="1">
      <c r="A40" s="22" t="s">
        <v>209</v>
      </c>
      <c r="B40" s="22" t="s">
        <v>513</v>
      </c>
      <c r="C40" s="22">
        <v>6.34</v>
      </c>
      <c r="D40" s="22">
        <v>15.84</v>
      </c>
      <c r="E40" s="22" t="s">
        <v>485</v>
      </c>
      <c r="F40" s="22"/>
      <c r="G40" s="22" t="s">
        <v>486</v>
      </c>
    </row>
    <row r="41" ht="15.75" customHeight="1">
      <c r="A41" s="22" t="s">
        <v>147</v>
      </c>
      <c r="B41" s="22" t="s">
        <v>514</v>
      </c>
      <c r="C41" s="22">
        <v>6.15</v>
      </c>
      <c r="D41" s="22">
        <v>14.85</v>
      </c>
      <c r="E41" s="22" t="s">
        <v>515</v>
      </c>
      <c r="F41" s="22" t="s">
        <v>516</v>
      </c>
      <c r="G41" s="22" t="s">
        <v>517</v>
      </c>
    </row>
    <row r="42" ht="15.75" customHeight="1">
      <c r="A42" s="22" t="s">
        <v>155</v>
      </c>
      <c r="B42" s="22" t="s">
        <v>484</v>
      </c>
      <c r="C42" s="22">
        <v>5.95</v>
      </c>
      <c r="D42" s="22">
        <v>16.09</v>
      </c>
      <c r="E42" s="22" t="s">
        <v>485</v>
      </c>
      <c r="F42" s="22"/>
      <c r="G42" s="22" t="s">
        <v>486</v>
      </c>
    </row>
    <row r="43" ht="15.75" customHeight="1">
      <c r="A43" s="22" t="s">
        <v>240</v>
      </c>
      <c r="B43" s="22" t="s">
        <v>484</v>
      </c>
      <c r="C43" s="22">
        <v>5.95</v>
      </c>
      <c r="D43" s="22">
        <v>16.09</v>
      </c>
      <c r="E43" s="22" t="s">
        <v>485</v>
      </c>
      <c r="F43" s="22"/>
      <c r="G43" s="22" t="s">
        <v>486</v>
      </c>
    </row>
    <row r="44" ht="15.75" customHeight="1">
      <c r="A44" s="22" t="s">
        <v>252</v>
      </c>
      <c r="B44" s="22" t="s">
        <v>518</v>
      </c>
      <c r="C44" s="22">
        <v>5.2</v>
      </c>
      <c r="D44" s="22">
        <v>15.34</v>
      </c>
      <c r="E44" s="22" t="s">
        <v>485</v>
      </c>
      <c r="F44" s="22"/>
      <c r="G44" s="22" t="s">
        <v>486</v>
      </c>
    </row>
    <row r="45" ht="15.75" customHeight="1">
      <c r="A45" s="22" t="s">
        <v>271</v>
      </c>
      <c r="B45" s="22" t="s">
        <v>519</v>
      </c>
      <c r="C45" s="22">
        <v>6.4</v>
      </c>
      <c r="D45" s="22">
        <v>16.95</v>
      </c>
      <c r="E45" s="22" t="s">
        <v>485</v>
      </c>
      <c r="F45" s="22"/>
      <c r="G45" s="22" t="s">
        <v>486</v>
      </c>
    </row>
    <row r="46" ht="15.75" customHeight="1">
      <c r="A46" s="22" t="s">
        <v>217</v>
      </c>
      <c r="B46" s="22" t="s">
        <v>520</v>
      </c>
      <c r="C46" s="22">
        <v>7.45</v>
      </c>
      <c r="D46" s="22">
        <v>16.09</v>
      </c>
      <c r="E46" s="22" t="s">
        <v>496</v>
      </c>
      <c r="F46" s="22" t="s">
        <v>497</v>
      </c>
      <c r="G46" s="22" t="s">
        <v>498</v>
      </c>
    </row>
    <row r="47" ht="15.75" customHeight="1">
      <c r="A47" s="22" t="s">
        <v>285</v>
      </c>
      <c r="B47" s="22" t="s">
        <v>521</v>
      </c>
      <c r="C47" s="22">
        <v>5.45</v>
      </c>
      <c r="D47" s="22">
        <v>10.3</v>
      </c>
      <c r="E47" s="22" t="s">
        <v>485</v>
      </c>
      <c r="F47" s="22"/>
      <c r="G47" s="22" t="s">
        <v>486</v>
      </c>
    </row>
    <row r="48" ht="15.75" customHeight="1">
      <c r="A48" s="22" t="s">
        <v>316</v>
      </c>
      <c r="B48" s="22" t="s">
        <v>522</v>
      </c>
      <c r="C48" s="22">
        <v>5.39</v>
      </c>
      <c r="D48" s="22">
        <v>9.39</v>
      </c>
      <c r="E48" s="22" t="s">
        <v>485</v>
      </c>
      <c r="F48" s="22"/>
      <c r="G48" s="22" t="s">
        <v>486</v>
      </c>
    </row>
    <row r="49" ht="15.75" customHeight="1">
      <c r="A49" s="22" t="s">
        <v>370</v>
      </c>
      <c r="B49" s="22" t="s">
        <v>484</v>
      </c>
      <c r="C49" s="22">
        <v>5.95</v>
      </c>
      <c r="D49" s="22">
        <v>16.09</v>
      </c>
      <c r="E49" s="22" t="s">
        <v>485</v>
      </c>
      <c r="F49" s="22"/>
      <c r="G49" s="22" t="s">
        <v>486</v>
      </c>
    </row>
    <row r="50" ht="15.75" customHeight="1">
      <c r="A50" s="22" t="s">
        <v>324</v>
      </c>
      <c r="B50" s="22" t="s">
        <v>523</v>
      </c>
      <c r="C50" s="22">
        <v>6.2</v>
      </c>
      <c r="D50" s="22">
        <v>16.34</v>
      </c>
      <c r="E50" s="22" t="s">
        <v>485</v>
      </c>
      <c r="F50" s="22"/>
      <c r="G50" s="22" t="s">
        <v>486</v>
      </c>
    </row>
    <row r="51" ht="15.75" customHeight="1">
      <c r="A51" s="22" t="s">
        <v>376</v>
      </c>
      <c r="B51" s="22" t="s">
        <v>484</v>
      </c>
      <c r="C51" s="22">
        <v>5.95</v>
      </c>
      <c r="D51" s="22">
        <v>16.09</v>
      </c>
      <c r="E51" s="22" t="s">
        <v>485</v>
      </c>
      <c r="F51" s="22"/>
      <c r="G51" s="22" t="s">
        <v>486</v>
      </c>
    </row>
    <row r="52" ht="15.75" customHeight="1">
      <c r="A52" s="22" t="s">
        <v>389</v>
      </c>
      <c r="B52" s="22" t="s">
        <v>524</v>
      </c>
      <c r="C52" s="22">
        <v>6.18</v>
      </c>
      <c r="D52" s="22">
        <v>14.7</v>
      </c>
      <c r="E52" s="22" t="s">
        <v>485</v>
      </c>
      <c r="F52" s="22"/>
      <c r="G52" s="22" t="s">
        <v>486</v>
      </c>
    </row>
    <row r="53" ht="15.75" customHeight="1">
      <c r="A53" s="22" t="s">
        <v>177</v>
      </c>
      <c r="B53" s="22" t="s">
        <v>525</v>
      </c>
      <c r="C53" s="22">
        <v>5.24</v>
      </c>
      <c r="D53" s="22">
        <v>13.97</v>
      </c>
      <c r="E53" s="22" t="s">
        <v>485</v>
      </c>
      <c r="F53" s="22"/>
      <c r="G53" s="22" t="s">
        <v>486</v>
      </c>
    </row>
    <row r="54" ht="15.75" customHeight="1">
      <c r="A54" s="22" t="s">
        <v>396</v>
      </c>
      <c r="B54" s="22" t="s">
        <v>526</v>
      </c>
      <c r="C54" s="22">
        <v>5.45</v>
      </c>
      <c r="D54" s="22">
        <v>15.59</v>
      </c>
      <c r="E54" s="22" t="s">
        <v>485</v>
      </c>
      <c r="F54" s="22"/>
      <c r="G54" s="22" t="s">
        <v>486</v>
      </c>
    </row>
    <row r="55" ht="15.75" customHeight="1">
      <c r="A55" s="22" t="s">
        <v>69</v>
      </c>
      <c r="B55" s="22" t="s">
        <v>527</v>
      </c>
      <c r="C55" s="22">
        <v>9.82</v>
      </c>
      <c r="D55" s="22">
        <v>35.21</v>
      </c>
      <c r="E55" s="22" t="s">
        <v>485</v>
      </c>
      <c r="F55" s="22"/>
      <c r="G55" s="22" t="s">
        <v>486</v>
      </c>
    </row>
    <row r="56" ht="15.75" customHeight="1">
      <c r="A56" s="22" t="s">
        <v>225</v>
      </c>
      <c r="B56" s="22" t="s">
        <v>528</v>
      </c>
      <c r="C56" s="22">
        <v>6.15</v>
      </c>
      <c r="D56" s="22">
        <v>19.15</v>
      </c>
      <c r="E56" s="22" t="s">
        <v>485</v>
      </c>
      <c r="F56" s="22"/>
      <c r="G56" s="22" t="s">
        <v>486</v>
      </c>
    </row>
    <row r="57" ht="15.75" customHeight="1"/>
    <row r="58" ht="15.75" customHeight="1">
      <c r="A58" s="23" t="s">
        <v>529</v>
      </c>
    </row>
    <row r="59" ht="15.75" customHeight="1">
      <c r="A59" s="24" t="s">
        <v>496</v>
      </c>
      <c r="B59" s="24">
        <v>5.0</v>
      </c>
    </row>
    <row r="60" ht="15.75" customHeight="1">
      <c r="A60" s="24" t="s">
        <v>515</v>
      </c>
      <c r="B60" s="24">
        <v>1.0</v>
      </c>
    </row>
    <row r="61" ht="15.75" customHeight="1">
      <c r="A61" s="24" t="s">
        <v>530</v>
      </c>
      <c r="B61" s="24">
        <v>0.0</v>
      </c>
    </row>
    <row r="62" ht="15.75" customHeight="1">
      <c r="A62" s="24" t="s">
        <v>485</v>
      </c>
      <c r="B62" s="24">
        <v>45.0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printOptions/>
  <pageMargins bottom="1.0" footer="0.0" header="0.0" left="0.75" right="0.75" top="1.0"/>
  <pageSetup orientation="landscape"/>
  <drawing r:id="rId1"/>
</worksheet>
</file>