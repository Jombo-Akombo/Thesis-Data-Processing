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0" name="_xlnm._FilterDatabase">'AI + Web Search Data'!$A$1:$P$1</definedName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<sst xmlns="http://schemas.openxmlformats.org/spreadsheetml/2006/main" count="1241" uniqueCount="669">
  <si>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</si>
  <si>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</si>
  <si>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</si>
  <si>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</si>
  <si>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</si>
  <si>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</si>
  <si>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</si>
  <si>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</si>
  <si>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</si>
  <si>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</si>
  <si>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Claude)</t>
  </si>
  <si>
    <t>Cited URLs
(shaped the answer)</t>
  </si>
  <si>
    <t>Cited Snippets</t>
  </si>
  <si>
    <t>All Result URLs
(returned by search engine)</t>
  </si>
  <si>
    <t>Notes</t>
  </si>
  <si>
    <t>Data Source</t>
  </si>
  <si>
    <t>Avida Finans AB</t>
  </si>
  <si>
    <t>consumer_loan</t>
  </si>
  <si>
    <t>https://www.avidafinance.com/sv/privatlan</t>
  </si>
  <si>
    <t>11.15%</t>
  </si>
  <si>
    <t>29.50%</t>
  </si>
  <si>
    <t>350000</t>
  </si>
  <si>
    <t>10000</t>
  </si>
  <si>
    <t>20</t>
  </si>
  <si>
    <t>15 years</t>
  </si>
  <si>
    <t>(Claude does not expose
the search query strings.)</t>
  </si>
  <si>
    <t>https://news.cision.com/avida-finans-ab/r/avida-s-year-end-report-2024,c4111701, https://news.cision.com/avida-finans-ab/r/avida-finans-ab-publishes-interim-report-for-the-period-january-march-2025-,c4155708, https://news.cision.com/avida-finans-ab/r/avida-finans-ab-publishes-interim-report-for-the-period-january-september-2025-,c4274036, https://news.cision.com/avida-finans-ab/about, https://view.news.eu.nasdaq.com/view?id=b4e33549716c820e0098c14d9b9d0ff73&amp;lang=en, https://media.umbraco.io/avida-web/bfddvdkg/annual-report-avida-finans-ab-2024_en.pdf, https://www.fi.se/en/published/sanctions/financial-firms/2025/avida-finans-receives-a-remark-and-administrative-fine/, https://news.cision.com/avida-finans-ab/r/avida-finans-ab--publ--completes-sek-2-8-billion-securitisation--creating-conditions-for-continued-g,c4217943, https://www.cbinsights.com/company/avida-finans, https://rocketreach.co/avida-finans-ab-profile_b5df5f30f42e4827, https://enklare.se/partners/avida/, https://trygga.com/lana-pengar/langivare/avida-finans/, https://www.kreditkoll.nu/kreditgivare/avida, https://www.bank24.se/avida/, https://finansfreak.se/omdomen/avida-finans/privatlan, https://www.mystep.se/kreditgivare/avidafinans, https://www.avidafinance.com/sv/villkor-privatlan, https://finansvalp.se/omdomen/avida/privatlan, https://www.lanekoll.se/partners/avida-finans, https://www.avidafinance.com/, https://www.avidafinance.com/sv/kundservice/faq-privatlan/, https://www.avidafinance.com/sv/privat/, https://www.avidafinance.com/sv/privatlan, https://www.avidafinance.com/sv/oka-lan, https://www.avidafinance.com/sv/kontakt, https://www.avidafinance.com/sv/laneskydd, https://support.avidafinance.com/hc/en-us/articles/13888699393809-Can-I-utilize-a-payment-free-month, https://www.avidafinance.com/23507702</t>
  </si>
  <si>
    <t>(Claude exposes cited URLs and
snippets from web_search results.)</t>
  </si>
  <si>
    <t>Nominal interest rate range is 5.90%–19.79% (as of 2025-10-01, down from 6.29%–21.22%); effective APR (effektiv ränta) range is 11.15%–29.50%. Maximum loan amount was raised from 250,000 SEK to 350,00</t>
  </si>
  <si>
    <t>Anthropic Claude Sonnet 4.6 + web_search_20250305</t>
  </si>
  <si>
    <t>Bjursås Sparbank</t>
  </si>
  <si>
    <t>https://www.bjursassparbank.se/privat/privatlan-och-krediter1/privatlandirekt-ansok.html</t>
  </si>
  <si>
    <t>8.42%</t>
  </si>
  <si>
    <t>6.20%</t>
  </si>
  <si>
    <t>500000</t>
  </si>
  <si>
    <t>20000</t>
  </si>
  <si>
    <t>18</t>
  </si>
  <si>
    <t xml:space="preserve">12 years </t>
  </si>
  <si>
    <t>https://www.bjursassparbank.se/privat/rantor-priser-och-kurser/lanetjanster.html, https://lexly.se/partners/bjursas-sparbank, https://www.bjursassparbank.se/, https://www.riksgalden.se/var-verksamhet/insattningsgarantin-och-investerarskyddet/sok-anslutna-banker-och-institut/kontoslag-som-omfattas/Bjursas-Sparbank/, https://www.bjursassparbank.se/privat.html, https://www.bjursassparbank.se/privat/rantor-priser-och-kurser/spar-och-placeringstjanster.html, https://www.bjursassparbank.se/privat/boende-och-bolan/ansok-om-lanelofte.html, https://www.bjursassparbank.se/privat/kort/sa-anvander-du-ditt-kort/kort-pa-resan/valutavaxling-vid-kortkop-utomlands/efter-ett-kop.html, https://www.bjursassparbank.se/privat/privatlan-och-krediter1/privatlandirekt-ansok.html, https://www.bjursassparbank.se/privat/forsakra/forsakringsvillkor.html, https://www.facebook.com/bjursassparbank/?locale=sv_SE, https://se.linkedin.com/company/bjurs%C3%A5s-sparbank, https://www.bjursassparbank.se/privat/boende-och-bolan/ansok-om-bolan.html, https://www.bjursassparbank.se/foretag/digitala-tjanster/internetbanken-foretag.html, https://www.bjursassparbank.se/privat/boende-och-bolan/bolan-for-olika-behov.html, https://www.bjursassparbank.se/om-webbplatsen.html, https://www.eniro.se/bjurs%C3%A5s+sparbank+bjurs%C3%A5s/7826765/firma, https://www.bjursassparbank.se/privat/boende-och-bolan/bolanerantor.html, https://www.bjursassparbank.se/privat/privatlan-och-krediter1/medlemslan.html, https://www.bjursassparbank.se/privat/boende-och-bolan.html, https://www.bjursassparbank.se/privat/boende-och-bolan/rakna-pa-ditt-bolan.html, https://sparbankenbergslagen.se/privat/boende-och-bolan/bolanerantor.html, https://www.ekonomifokus.se/bostad/lan/basta-lanet</t>
  </si>
  <si>
    <t>Privatlån (unsecured personal loan) with variable interest rate individually determined within the range 6.20%–16.34% (last updated 2025-02-07). Representative example: 100,000 SEK at 7.98% nominal ra</t>
  </si>
  <si>
    <t>Brixo AB</t>
  </si>
  <si>
    <t>https://brixo.se/privatlan/</t>
  </si>
  <si>
    <t>24.30%</t>
  </si>
  <si>
    <t>21.95%</t>
  </si>
  <si>
    <t>150000</t>
  </si>
  <si>
    <t>5000</t>
  </si>
  <si>
    <t>21</t>
  </si>
  <si>
    <t xml:space="preserve">7.5 år </t>
  </si>
  <si>
    <t>Brixo AB erbjuder två huvudprodukter: (1) Kontokredit 5 000–50 000 SEK, nominell rörlig ränta 21,95%, effektiv ränta 24,3%, inga avgifter, obestämd löptid, återbetalning minst 4% (eller 400 kr) per må</t>
  </si>
  <si>
    <t>Brocc Finance AB</t>
  </si>
  <si>
    <t>https://brocc.se/lana/</t>
  </si>
  <si>
    <t>7.60%</t>
  </si>
  <si>
    <t>30.00%</t>
  </si>
  <si>
    <t>400000</t>
  </si>
  <si>
    <t>30</t>
  </si>
  <si>
    <t xml:space="preserve">15 år </t>
  </si>
  <si>
    <t>https://thebanks.eu/banks/17627, https://crowdinform.com/en/crowdfunding-platforms/brocc, https://www.crunchbase.com/organization/brocc, https://play.google.com/store/apps/details?id=com.broccfinanceab.brocc&amp;hl=en, https://thebanks.eu/banks/18763, https://www.p2ug.com/brocc/, https://pitchbook.com/profiles/company/226331-83, https://thecrowdspace.com/platform/brocc/, https://www.prnewswire.com/news-releases/cerberus-acquires-brocc-finance-to-support-growth-and-strategic-expansion-into-european-npl-asset-management-302599740.html, https://www.riksgalden.se/en/our-operations/deposit-insurance/search-for-member-institutions/account-types-covered-by-the-insurance/GCC-Capital-AB/, https://enklare.se/partners/brocc/, https://brocc.se/, https://brocc.se/lana/, https://www.bloomberg.com/profile/company/0920971D:SS, https://smslansnabb.se/brocc-logga-in, https://www.sambla.se/partners/brocc/, https://www.ordnabolan.se/privatlan/omdome/brocc/, https://www.allabolag.se/foretag/brocc-finance-ab/stockholm/finansbolag-finansiella-tj%C3%A4nster/2JYMPQCI5YE9Q, https://brocc.se/om-brocc/</t>
  </si>
  <si>
    <t>Räntan sätts individuellt baserat på kreditvärdighet (nominell ränta 7,50–23,00 %). Max effektiv ränta (APR) är 29,99–30,00 % enligt Google Play-listning och kreditkoll.nu. Lånet är ett annuitetslån u</t>
  </si>
  <si>
    <t>Credento Bank AB</t>
  </si>
  <si>
    <t>https://credento.se/credento-privatlan</t>
  </si>
  <si>
    <t>14.82%</t>
  </si>
  <si>
    <t>29.27%</t>
  </si>
  <si>
    <t>100000</t>
  </si>
  <si>
    <t>1000</t>
  </si>
  <si>
    <t>25</t>
  </si>
  <si>
    <t xml:space="preserve">12 år </t>
  </si>
  <si>
    <t>https://trygga.com/lana-pengar/langivare/credento/, https://www.kreditkoll.nu/kreditgivare/credento, https://view.news.eu.nasdaq.com/view?id=b5493b6011ebf5002d1898cf0c6202a8f&amp;lang=en, https://news.cision.com/tf-bank-ab--publ-/r/tf-bank-s-swedish-subsidiary-has-been-granted-a-license-to-operate-as-a-deposit-taking-financial-ins,c4076645, https://www.fi.se/en/bank/apply-for-authorisation/konsumentkreditinstitut/, https://credento.se/, https://ensun.io/search/personal-loan/sweden, https://practiceguides.chambers.com/practice-guides/banking-finance-2024/sweden/trends-and-developments, https://loanssweden.se/, https://www.lendo.group/lendo-sweden/, https://credento.se/om-oss, https://www.credigo.se/, https://credento.se/kundkannedom, https://www.lanekoll.se/partners/credento, https://www.zmarta.se/lana-pengar/langivare/credento, https://tfbank.se/, https://xn--lnero-mra.se/langivare/credento/</t>
  </si>
  <si>
    <t>Credento är ett varumärke ägt av TF Bank AB (org.nr 556158-1041), en bank med Finansinspektionens tillstånd sedan 2012. Lånet är ett annuitetslån utan säkerhet (blancolån). Nominell ränta sätts indivi</t>
  </si>
  <si>
    <t>Facit Bank Filial</t>
  </si>
  <si>
    <t>https://facitbank.se/</t>
  </si>
  <si>
    <t>9.82%</t>
  </si>
  <si>
    <t>35.21%</t>
  </si>
  <si>
    <t>250000</t>
  </si>
  <si>
    <t xml:space="preserve">10 years </t>
  </si>
  <si>
    <t>https://trygga.com/lana-pengar/langivare/facit-bank/, https://www.mystep.se/kreditgivare/facitbank, https://www.payup.se/lan/facit-bank/, https://kreditium.se/loans/facit-bank/, https://www.kreditkoll.nu/kreditgivare/facit-bank, https://www.xn--lnen-qoa.se/facit-bank/, https://xn--svenskaprivatln-ulb.se/facit-bank/, https://facitbank.se/kundservice/, https://testzone-v2.facitbank.se/om-os/, https://facitbank.se/, https://thebanks.eu/banks/19506, https://www.allabolag.se/5164061193/facit-bank-filial, https://www.sdc.dk/en/sdc/kunder/cases/case---facit-bank, https://www.dnb.com/business-directory/company-profiles.facit_bank_filial.9a869c2a2da1b1d8fb5ae9c1c30d2f62.html, https://www.crunchbase.com/organization/facit-bank, https://play.google.com/store/apps/details?id=se.facit.netbank.mobile&amp;hl=en_US, https://smartmoney.dk/facit-bank/, https://pengepartner.dk/laan/udbydere/facit-laan, https://financer.dk/selskab/facit-bank/, https://finansvalp.se/forklarar/lagar-och-regler-for-konsumtionslan, https://laan.facitbank.dk/, https://tjek-laan.dk/laan/udbydere/facit-laan, https://omprivatekonomi.se/artiklar/omprivatekonomi-kreditkort</t>
  </si>
  <si>
    <t>Facit Bank Filial is a Swedish branch of Danish Facit Bank A/S, supervised by Finansinspektionen (org. nr. 516406-1193). Two loan products are offered: (1) Konsumtionslån (consumer loan) up to SEK 100</t>
  </si>
  <si>
    <t>Falkenbergs Sparbank AB</t>
  </si>
  <si>
    <t>https://www.falkenbergssparbank.se/privat/privatlan-och-krediter/privatlandirekt-ansok.html</t>
  </si>
  <si>
    <t>8.28%</t>
  </si>
  <si>
    <t>16.34%</t>
  </si>
  <si>
    <t>https://www.falkenbergssparbank.se/privat/spara-och-placera/aktier-och-andra-placeringar/strukturerade-produkter/kurser-och-slutliga-villkor/slutliga-villkor-bevis.html, https://www.falkenbergssparbank.se/privat/rantor-priser-och-kurser/spar-och-placeringstjanster.html, https://www.falkenbergssparbank.se/privat/rantor-priser-och-kurser/betalningstjanster.html, https://www.falkenbergssparbank.se/privat/boende-och-bolan/ansok-om-lanelofte.html, https://www.falkenbergssparbank.se/privat/boende-och-bolan/rakna-pa-ditt-bolan.html, https://www.falkenbergssparbank.se/privat/boende-och-bolan/ansok-om-bolan.html, https://www.falkenbergssparbank.se/privat/boende-och-bolan/bolanerantor.html, https://www.falkenbergssparbank.se/privat/boende-och-bolan/bolan-for-olika-behov/bolan.html, https://falkenbergssparbank.se/privat/boende-och-bolan/rakna-pa-ditt-bolan/rorlig-eller-bunden-ranta.html, https://www.riksgalden.se/en/our-operations/deposit-insurance/search-for-member-institutions/account-types-covered-by-the-insurance/falkenbergs-sparbank-ab/, https://www.falkenbergssparbank.se/, https://www.allabolag.se/foretag/falkenbergs-sparbank-ab/falkenberg/banker/2DEJR6SI5YCM3, https://www.sparbanken.se/om-oss.html, https://www.nib.int/loan/falkenbergs-sparbank-22719, https://www.falkenbergssparbank.se/sitemap.html, https://se.linkedin.com/company/falkenbergs-sparbank, https://thebanks.eu/banks/17535, https://www.facebook.com/FalkenbergsSparbank/?locale=sv_SE, https://www.crunchbase.com/organization/falkenbergs-sparbank, https://www.falkenbergssparbank.se/privat/privatlan-och-krediter/privatlandirekt-ansok.html, https://www.falkenbergssparbank.se/privat/privatlan-och-krediter/medlemslan.html, https://www.falkenbergssparbank.se/privat/spara-och-placera/sparkonton/fastrantekonto.html, https://www.falkenbergssparbank.se/privat/boende-och-bolan.html, https://www.falkenbergssparbank.se/privat/privatlan-och-krediter/lana-till-bil/billan.html, https://www.falkenbergssparbank.se/privat/privatlan-och-krediter/samla-lanen.html, https://www.falkenbergssparbank.se/privat/privatlan-och-krediter/lana-till-bil/gront-billan.html, https://www.falkenbergssparbank.se/privat/boende-och-bolan/andra-ditt-bolan.html, https://www.falkenbergssparbank.se/privat/boende-och-bolan/bolan-for-olika-behov/overbryggningskredit.html</t>
  </si>
  <si>
    <t>Rörlig ränta, sätts individuellt efter kundens ekonomiska förutsättningar. Uppläggningsavgift 300 SEK (0 kr för Nyckelkund). Aviseringsavgift 0 kr. Kräver regelbunden inkomst (ej bidrag eller studieme</t>
  </si>
  <si>
    <t>Högsby Sparbank</t>
  </si>
  <si>
    <t>https://www.hogsbysparbank.se/privat/privatlan-och-krediter/privatlandirekt-ansok.html</t>
  </si>
  <si>
    <t>8.01%</t>
  </si>
  <si>
    <t>not published (contact bank at 0491-209 00 for exact limit)</t>
  </si>
  <si>
    <t>not explicitly published on product page</t>
  </si>
  <si>
    <t>https://www.riksgalden.se/sv/var-verksamhet/insattningsgarantin-och-investerarskyddet/sok-anslutna-banker-och-institut/kontoslag-som-omfattas/Hogsby-Sparbank/, https://www.hogsbysparbank.se/privat/rantor-priser-och-kurser/spar-och-placeringstjanster.html, https://www.hogsbysparbank.se/, https://www.hogsbysparbank.se/foretag/rantor-priser-och-kurser.html, https://www.hogsbysparbank.se/privat/boende-och-bolan/allmanna-kreditvillkor-swedbank-hypotek.html, https://www.hogsbysparbank.se/privat/digitala-tjanster/kundcenter-privat.html, https://www.hogsbysparbank.se/privat/privatlan-och-krediter/privatlandirekt-ansok.html, https://www.allabolag.se/foretag/h%C3%B6gsby-sparbank/h%C3%B6gsby/finansbolag-finansiella-tj%C3%A4nster/2G45NWPI5YE9Q, https://www.hogsbysparbank.se/privat/rantor-priser-och-kurser/betalningstjanster.html, https://www.hogsbysparbank.se/om-oss/kontakta-oss/om-du-inte-ar-nojd.html, https://www.hogsbysparbank.se/privat/digitala-tjanster/internetbanken.html, https://www.hogsbysparbank.se/om-oss.html, https://se.linkedin.com/company/h-gsby-sparbank, https://www.crunchbase.com/organization/hogsby-sparbank, https://thebanks.eu/banks/17546, https://www.hogsbysparbank.se/privat/digitala-tjanster/mobilt-bankid.html, https://www.hogsbysparbank.se/om-oss/kontakta-oss.html, https://www.hogsbysparbank.se/privat/betala-och-overfora/konton.html, https://www.hogsbysparbank.se/privat/boende-och-bolan/bolanerantor.html, https://www.hogsbysparbank.se/privat/boende-och-bolan.html, https://www.hogsbysparbank.se/privat/privatlan-och-krediter/lana-till-bil/billan.html, https://www.hogsbysparbank.se/foretag/spara-och-placera/sparkonton/fastrantekonto.html, https://www.hogsbysparbank.se/privat/index.htm, https://www.hogsbysparbank.se/privat/boende-och-bolan/rakna-pa-ditt-bolan.html, https://www.hogsbysparbank.se/privat/spara-och-placera/sparkonton/fastrantekonto.html, https://www.halsinglandssparbank.se/privat/rantor-priser-och-kurser/lanetjanster.html, https://www.lsb.se/privatlan</t>
  </si>
  <si>
    <t>Rate is variable and set individually based on applicant's financial situation. Standard setup fee 300 SEK (waived for Nyckelkund/key customers). No monthly notification fee. Repayment via straight-li</t>
  </si>
  <si>
    <t>ICA Banken AB</t>
  </si>
  <si>
    <t>https://www.icabanken.se/lana/privatlan/</t>
  </si>
  <si>
    <t>6.00%</t>
  </si>
  <si>
    <t>17.17%</t>
  </si>
  <si>
    <t>600000</t>
  </si>
  <si>
    <t>https://www.mystep.se/kreditgivare/icabanken, https://www.icabanken.se/lana/privatlan/, https://www.kreditkoll.nu/kreditgivare/icabanken, https://www.icabanken.se/, https://www.payup.se/lan/ica-banken/, https://cms.icabanken.se/globalassets/pdf/villkor-lan.pdf, https://www.sambla.se/partners/ica-banken/, https://www.xn--lnen-qoa.se/icabanken/, https://www.hittalanet.se/privatlan/ica-bankens-privatlan, https://finansvalp.se/omdomen/ica-banken/privatlan, https://www.icabanken.se/lana/, https://www.icabanken.se/lana/samla-lan/, https://www.icabanken.se/prislista/, https://www.icabanken.se/lana/bolan/bolanerantor/, https://www.icabanken.se/lana/bolan/, https://www.icabanken.se/lana/billan/, https://www.icabanken.se/lana/privatlan/flytta-privatlan/, https://www.icabanken.se/lana/blancolan/</t>
  </si>
  <si>
    <t>Nominell ränta 5,84–15,95 %, effektiv ränta 6,00–17,17 % (priser gällande från 2026-02-19). Räntan är individuell och rörlig. Lånet är utan säkerhet (blancolån) och upplagt som ett annuitetslån. Krav:</t>
  </si>
  <si>
    <t>Ikano Bank AB</t>
  </si>
  <si>
    <t>https://ikanobank.se/lana-pengar/privatlan</t>
  </si>
  <si>
    <t>6.75%</t>
  </si>
  <si>
    <t>18.56%</t>
  </si>
  <si>
    <t xml:space="preserve">15 years </t>
  </si>
  <si>
    <t>https://ikanobank.se/, https://ikanobank.se/lana-pengar/privatlan, https://ikanobank.se/lana-pengar, https://trygga.com/lana-pengar/langivare/ikano-bank/, https://www.payup.se/lan/ikano-bank/, https://ikanobank.se/lana-pengar/banklan, https://financer.se/foretag/ikano/, https://finansvalp.se/omdomen/ikano-bank/privatlan, https://www.bank24.se/ikano-bank-lan/, https://www.hittalanet.se/privatlan/ikano-bank-privatlan, https://www.nib.int/loan/ikano-bank-ab-22772, https://en.wikipedia.org/wiki/Ikano_Bank, https://news.cision.com/ikano-bank/r/ikano-bank-completes-acquisition-of-swedish-consumer-finance-portfolio-worth-sek-3-4-billion,c4045333, https://ikanobank.se/-/media/sweden/ikea/pdfs/english.pdf?la=sv-se, https://news.cision.com/ikano-bank/r/ikano-bank-to-buy-swedish-consumer-finance-portfolio-worth-sek-3-8-billion,c3964718, https://www.zoominfo.com/c/ikano-bank-ab/357452257, https://thebanks.eu/banks/17630, https://www.fintechfutures.com/core-banking-technology/ikano-bank-live-with-tcs-bancs-core-for-loans-and-deposits-in-sweden, https://www.linkedin.com/company/ikano-bank, https://bank.ikano/</t>
  </si>
  <si>
    <t>Unsecured personal loan (privatlån) with variable individual interest rate set per applicant based on creditworthiness and loan amount. Nominal rate range: 6.55%–17.15%; effective APR range: 6.75%–18.</t>
  </si>
  <si>
    <t>Ivetofta Sparbank i Bromölla</t>
  </si>
  <si>
    <t>https://www.ivetoftasparbank.se/privat/privatlan-och-krediter/privatlandirekt-ansok.html</t>
  </si>
  <si>
    <t>8.15%</t>
  </si>
  <si>
    <t>5.95%</t>
  </si>
  <si>
    <t>200000</t>
  </si>
  <si>
    <t>12 år</t>
  </si>
  <si>
    <t>https://www.ivetoftasparbank.se/, https://thebanks.eu/banks/17548, https://www.allabolag.se/foretag/ivetofta-sparbank-i-brom%C3%B6lla/brom%C3%B6lla/finansbolag-finansiella-tj%C3%A4nster/2H0B7W5I5YE9Q, https://www.ivetoftasparbank.se/privat/, https://issuu.com/insidenr/docs/inside_nr1-21/s/12086619, https://www.riksgalden.se/var-verksamhet/insattningsgarantin-och-investerarskyddet/sok-anslutna-banker-och-institut/kontoslag-som-omfattas/Ivetofta-Sparbank-/, https://www.facebook.com/p/Ivetofta-Sparbank-61560845727943/, https://www.hitta.se/ivetofta+sparbank+i+brom%C3%B6lla/brom%C3%B6lla/icoxxfcp, https://www.bromolla.se/sok/?q=sparbank, https://issuu.com/insidenr/docs/inside_juni-22/s/16071812, https://www.bromolla.se/fritidscenter/partner-ivetofta-sparbank/, https://www.ivetoftasparbank.se/om-oss/kontakta-oss.html, https://www.ivetoftasparbank.se/om-oss/kontakta-oss/kontor.html, https://www.ivetoftasparbank.se/om-oss/om-ivetofta-sparbank.html, https://oppettider.net/spots/swedbank-ivetofta-sparbank-i-bromolla-storgatan-ce3edc3236, https://www.ivetoftasparbank.se/privat/privatlan-och-krediter/privatlandirekt-ansok.html, https://www.ivetoftasparbank.se/privat/rantor-priser-och-kurser/lanetjanster.html, https://www.ivetoftasparbank.se/privat/privatlan-och-krediter/samla-lanen.html, https://www.ivetoftasparbank.se/privat/privatlan-och-krediter/privatlandirekt-ansok/lana-30000.html, https://www.ivetoftasparbank.se/privat/privatlan-och-krediter.html, https://www.ivetoftasparbank.se/privat/boende-och-bolan/rakna-pa-ditt-bolan/ranteskillnadsersattning.html, https://www.ivetoftasparbank.se/privat.html, https://www.ivetoftasparbank.se/privat/boende-och-bolan/rakna-pa-ditt-bolan.html, https://www.ivetoftasparbank.se/privat/privatlan-och-krediter/lana-till-bil/billan.html</t>
  </si>
  <si>
    <t>Rörlig ränta sätts individuellt (räntespann 5,95–16,09 %, senaste ränteändring 2025-10-03). Exempelkalkyl: 100 000 kr, 7,73 % nominell ränta, effektiv ränta 8,15 % (8,01 % för Nyckelkund), 5 års löpti</t>
  </si>
  <si>
    <t>Laholms Sparbank</t>
  </si>
  <si>
    <t>https://www.laholmssparbank.se/privat/privatlan-och-krediter/privatlandirekt-ansok.html</t>
  </si>
  <si>
    <t>not explicitly stated on product page; contact bank for individual assessment</t>
  </si>
  <si>
    <t>not explicitly stated on product page</t>
  </si>
  <si>
    <t>https://www.laholmssparbank.se/privat/privatlan-och-krediter/privatlandirekt-ansok.html, https://www.laholmssparbank.se/privat/rantor-priser-och-kurser/lanetjanster.html, https://www.laholmssparbank.se/privat/privatlan-och-krediter.html, https://www.laholmssparbank.se, https://www.bank24.se/konsumentkredit/, https://www.laholmssparbank.se/privat/kort/kortvillkor.html, https://www.laholmssparbank.se/privat/en-battre-framtid/spara/sa-kan-du-minska-dina-kostnader-for-konsumtionskrediter.html, https://www.kreditkoll.nu/kreditgivare/konsumentkredit, https://www.laholmssparbank.se/privat/privatlan-och-krediter/medlemslan.html, https://advisa.se/langivare/konsumentkredit/, https://www.laholmssparbank.se/privat/digitala-tjanster/kundcenter-privat.html, https://www.laholmssparbank.se/privat/digitala-tjanster/internetbanken/hjalp-att-logga-in.html, https://www.laholmssparbank.se/sitemap.html, https://www.riksgalden.se/sv/var-verksamhet/insattningsgarantin-och-investerarskyddet/sok-anslutna-banker-och-institut/kontoslag-som-omfattas/Laholms-Sparbank/, https://www.laholmssparbank.se/om-oss/kontakta-oss/kontor.html, https://6sense.com/company/laholms-sparbank/5ba614c97c86660d3c70784e, https://www.laholmssparbank.se/privat/boende-och-bolan.html, https://www.creditsafe.com/business-index/en-gb/company/laholms-sparbank-se00530979, https://www.laholmssparbank.se/privat/digitala-tjanster/bankid-dator.html, https://www.laholmssparbank.se/privat/boende-och-bolan/ansok-om-lanelofte.html, https://www.laholmssparbank.se/privat/privatlan-och-krediter/lana-till-bil/billan.html, https://www.laholmssparbank.se/privat/boende-och-bolan/rakna-pa-ditt-bolan.html, https://www.laholmssparbank.se/privat/boende-och-bolan/ansok-om-bolan.html, https://www.laholmssparbank.se/privat/boende-och-bolan/fastighetsbyran-bolaneerbjudande.html, https://www.laholmssparbank.se/privat/boende-och-bolan/bolan-for-olika-behov/byggnadslan.html, https://www.laholmssparbank.se/privat/privatlan-och-krediter/lana-till-bil/gront-billan.html</t>
  </si>
  <si>
    <t>Rörlig (variable) interest rate; räntespann 5.95–16.09% (senaste ränteändring 2025-10-03). Effektiv ränta 8.15% (8.01% för Nyckelkund) on 100 000 kr over 5 years with straight-line amortization. Upplä</t>
  </si>
  <si>
    <t>Länsförsäkringar Bank Aktiebolag</t>
  </si>
  <si>
    <t>https://www.lansforsakringar.se/privat/bank/lana/privatlan/</t>
  </si>
  <si>
    <t>13.45%</t>
  </si>
  <si>
    <t>10 years</t>
  </si>
  <si>
    <t>https://www.konsumentguiden.se/lana-pengar/privatlan/lansforsakringar-bank-privatlan/, https://www.kreditkoll.nu/kreditgivare/lansforsakringar, https://www.ekonomifokus.se/bostad/lan/lansforsakringar-bank, https://www.mystep.se/kreditgivare/lansforsakringar, https://www.lansforsakringar.se/privat/bank/lana/privatlan/, https://www.lansforsakringar.se/privat/bank/lana/, https://trygga.com/lana-pengar/langivare/konsumentkredit-bank/, https://finansklubben.se/ekonomi/banker-lan/lana-till-kontantinsats/lana-till-kontantinsats-regler-och-banker-2025/, https://www.bank24.se/konsumentkredit/, https://www.kapitalkoll.se/blog/guide-till-lansforsakringars-bolan-rantor-och-villkor-2024, https://www.lansforsakringar.se/privat/bank/spara/alla-konton-for-sparande/fastrantekonto/, https://www.lansforsakringar.se/privat/bank/spara/alla-konton-for-sparande/lanskonto/, https://www.lansforsakringar.se/privat/bank/lana/billan/, https://www.lansforsakringar.se/foretag/bank/placeringar/fastrantekonto/, https://www.lansforsakringar.se/privat/bank/lana/bolan/viktigt-att-betala-lanen/, https://www.lansforsakringar.se/privat/, https://www.lansforsakringar.se/privat/bank/, https://www.lansforsakringar.se/privat/bank/kort--betalningar/kortformaner/, https://www.mystep.se/lansforsakringar-utbetalning-direkt, https://finansklubben.se/ekonomi/banker-lan/lansforsakringar-bank/sparkonto-lansforsakringar-bank-ranta-och-villkor-2025/, https://www.ekonominu.se/blog-posts/guide-till-lansforsakringars-bolan-2025---villkor-och-rantor, https://xn--privatlnlistan-rib.se/privatlan/lansforsakringar-bank-privatlan/, https://finansfreak.se/omdomen/lansforsakringar/bolan, https://finansklubben.se/ekonomi/banker-lan/lansforsakringar-bank/lansforsakringar-bank-ranta-2025-aktuella-nivaer-prognos/, https://finansklubben.se/ekonomi/banker-lan/lansforsakringar-bank/lansforsakringar-bank-2025-guide-till-tjanster-och-rantor/</t>
  </si>
  <si>
    <t>Privatlån (blancolån/Direktlån) utan säkerhet, erbjuds i samarbete med LF Finans (Länsförsäkringar Finans AB) / Wasa Kredit. Nominell ränta 6.75%–13.45% per senaste justering 2025-06-12; räntan är rör</t>
  </si>
  <si>
    <t>Länsförsäkringar Finans AB</t>
  </si>
  <si>
    <t>https://www.lffinans.se/privat/lana/privatlan/</t>
  </si>
  <si>
    <t>8.25%</t>
  </si>
  <si>
    <t>19.08%</t>
  </si>
  <si>
    <t>30000</t>
  </si>
  <si>
    <t>https://www.lansforsakringar.se/privat/bank/lana/, https://www.ekonomifokus.se/bostad/lan/lansforsakringar-bank, https://www.lansforsakringar.se/privat/bank/lana/privatlan/, https://www.lffinans.se/, https://www.sambla.se/partners/lf-finans/, https://www.mystep.se/kreditgivare/lansforsakringar, https://www.lansforsakringar.se/privat/, https://www.lanekoll.se/bolan/lansforsakringar, https://www.payup.se/lan/lf-finans/, https://www.lansforsakringar.se/privat/forsakring/forsakringsvillkor/, https://www.lansforsakringar.se/foretag/bank/finansiering/, https://advisa.se/langivare/lf-finans/, https://secure246.lansforsakringar.se/nim/, https://www.lansforsakringar.se/privat/om-oss/finansiellt/lansforsakringar-bank-ab/, https://www.lffinans.se/produktinformation/direktlan/mer-om-rante/, https://www.lffinans.se/privat/laneskola/ranta-och-avgifter-pa-lan/, https://www.lffinans.se/privat/lana/privatlan/, https://www.mystep.se/kreditgivare/lffinans, https://www.lffinans.se/om-oss/nyheter/2026/rantebeskedet-2025/, https://www.lffinans.se/produktinformation/appen/dela-upp---rantor-och-avgifter/, https://www.lffinans.se/privat/lana/privatlan/vanliga-fragor/, https://finansvalp.se/omdomen/lf-finans/privatlan</t>
  </si>
  <si>
    <t xml:space="preserve">Länsförsäkringar Finans AB is the legal credit-market company behind the consumer-facing brand LF Finans (rebranded from Wasa Kredit in May 2025). Wholly owned subsidiary of Länsförsäkringar Bank AB. </t>
  </si>
  <si>
    <t>Lekebergs Sparbank</t>
  </si>
  <si>
    <t>https://www.lekebergssparbank.se/privat/privatlan-och-krediter/privatlandirekt-ansok.html</t>
  </si>
  <si>
    <t>6.27%</t>
  </si>
  <si>
    <t>17.35%</t>
  </si>
  <si>
    <t>https://www.lekebergssparbank.se/privat/privatlan-och-krediter/privatlandirekt-ansok.html, https://www.lekebergssparbank.se/privat/kort/kortvillkor.html, https://www.lekebergssparbank.se/, https://www.lekebergssparbank.se/privat/spara-och-placera/mifid/avtal-och-allmanna-villkor/avtal-och-allmanna-villkor-kunder-i-sverige.html, https://www.lekebergssparbank.se/privat/privatlan-och-krediter/samla-lanen.html, https://www.lekebergssparbank.se/privat/privatlan-och-krediter/medlemslan.html, https://www.lekebergssparbank.se/privat/boende-och-bolan/rakna-pa-ditt-bolan/rorlig-eller-bunden-ranta.html, https://www.lekebergssparbank.se/privat/rantor-priser-och-kurser/betalningstjanster.html, https://www.lekebergssparbank.se/privat/digitala-tjanster/digital-post/uppdaterade-villkor.html, https://www.bank24.se/konsumentkredit/, https://www.riksgalden.se/sv/var-verksamhet/insattningsgarantin-och-investerarskyddet/sok-anslutna-banker-och-institut/kontoslag-som-omfattas/Lekebergs-Sparbank/, https://www.lekebergssparbank.se/privat/boende-och-bolan.html, https://www.lekebergssparbank.se/privat/digitala-tjanster/internetbanken.html, https://www.lekebergssparbank.se/privat/spara-och-placera/sparkonton.html, https://lekebergssparbank.se/privat/rantor-priser-och-kurser/bolanerantor.html, https://www.lekebergssparbank.se/privat/boende-och-bolan/ansok-om-lanelofte.html, https://www.lekebergssparbank.se/privat/boende-och-bolan/flytta-ditt-bolan-till-oss.html, https://www.allabolag.se/foretag/lekebergs-sparbank/fjugesta/banker/2N3EVOBI5YCM3, https://www.lekebergssparbank.se/privat/boende-och-bolan/ansok-om-bolan.html, https://www.lekebergssparbank.se/privat/boende-och-bolan/rakna-pa-ditt-bolan.html, https://www.lekebergssparbank.se/privat/boende-och-bolan/bolan-for-olika-behov/bolan-lo-medlemmar.html, https://www.lekebergssparbank.se/privat/rantor-priser-och-kurser/spar-och-placeringstjanster.html, https://www.lekebergssparbank.se/privat/privatlan-och-krediter/privatlandirekt-ansok/lana-30000.html</t>
  </si>
  <si>
    <t>Nominal interest rate is variable and set individually based on the applicant's financial circumstances, range 5.95%–16.09% (last updated 2025-10-03). Effective APR in the published example is 8.15% (</t>
  </si>
  <si>
    <t>Lönneberga-Tuna-Vena Sparbank</t>
  </si>
  <si>
    <t>https://www.ltvsparbank.se/privat/rantor-priser-och-kurser/lanetjanster.html</t>
  </si>
  <si>
    <t>8.96%</t>
  </si>
  <si>
    <t>None</t>
  </si>
  <si>
    <t>12 years</t>
  </si>
  <si>
    <t>https://www.ltvsparbank.se/, https://thebanks.eu/banks/17639, https://www.allabolag.se/foretag/l%C3%B6nneberga-tuna-vena-sparbank/vena/finansbolag-finansiella-tj%C3%A4nster/2G6JDJ9I5YE9Q, https://www.riksgalden.se/en/our-operations/deposit-insurance/search-for-member-institutions/account-types-covered-by-the-insurance/Lonneberga-Tuna-Vena-Sparbank/, https://se.linkedin.com/company/l%C3%B6nneberga-tuna-vena-sparbank, https://www.bolagsfakta.se/5332005189-Lonneberga_Tuna_Vena_Sparbank, https://www.hitta.se/l%C3%B6nneberga+tuna+vena+sparbank/vena/muuejapt, https://www.facebook.com/LTVsparbank/, https://silverdalen.cylex.se/company/l%C3%B6nneberga-tuna-vena+sparbank-11065050.html, https://sv.wikipedia.org/wiki/L%C3%B6nneberga-Tuna-Vena_Sparbank, https://www.ltvsparbank.se/kontakta-oss/personal.html, https://www.ltvsparbank.se/om-oss/oppettider.html, https://www.ltvsparbank.se/kontakta-oss/kontor.html, https://www.hitta.se/l%C3%B6nneberga+tuna+vena+sparbank/silverdalen/ntbecgud, https://www.ltvsparbank.se/privat/digitala-tjanster/internetbanken/hjalp-att-logga-in.html, https://www.ltvsparbank.se/privat/privatlan-och-krediter/privatlandirekt-ansok.html, https://www.ltvsparbank.se/privat/rantor-priser-och-kurser/lanetjanster.html, https://www.lsb.se/lana-pengar, https://www.sambla.se/partners/lan-och-spar-bank/, https://www.ltvsparbank.se/privat/privatlan-och-krediter.html, https://www.lsb.se/privatlan, https://www.ltvsparbank.se/privat/kort/tillaggstjanster/kortkredit.html, https://xn--lnefrmedlarguiden-8qb04a.se/lan-spar-bank/, https://www.lsb.se/rantor-priser-privatlan, https://finansvalp.se/omdomen/lan-och-spar-bank/privatlan</t>
  </si>
  <si>
    <t>Variable (rörlig) interest rate. Representative example: SEK 100,000 at 8.48% nominal variable rate (rate span 7.60–16.30%), straight-line amortisation (rak amortering), 5-year term → effective APR 8.</t>
  </si>
  <si>
    <t>Markaryds Sparbank</t>
  </si>
  <si>
    <t>https://www.markarydssparbank.se/privat/privatlan-och-krediter/privatlandirekt-ansok.html</t>
  </si>
  <si>
    <t>16.84%</t>
  </si>
  <si>
    <t>https://www.markarydssparbank.se/, https://www.riksgalden.se/var-verksamhet/insattningsgarantin-och-investerarskyddet/sok-anslutna-banker-och-institut/kontoslag-som-omfattas/Markaryds-Sparbank/, https://www.markarydssparbank.se/sitemap.html, https://www.markarydssparbank.se/privat/privatlan-och-krediter/privatlandirekt-ansok.html, https://www.markarydssparbank.se/privat/rantor-priser-och-kurser/lanetjanster.html, https://www.markarydssparbank.se/privat/digitala-tjanster.html, https://thebanks.eu/banks/17557, https://se.linkedin.com/company/markaryds-sparbank, https://www.markarydssparbank.se/privat/betala-och-overfora.html, https://www.markarydssparbank.se/privat/digitala-tjanster/kundcenter-privat.html, https://www.riksgalden.se/en/our-operations/deposit-insurance/search-for-member-institutions/account-types-covered-by-the-insurance/Markaryds-Sparbank/, https://www.crunchbase.com/organization/markaryds-sparbank, https://www.facebook.com/p/Markaryds-Sparbank-100052188374865/, https://www.markarydssparbank.se/privat/digitala-tjanster/internetbanken/help-to-log-in.html, https://www.zoominfo.com/c/markaryds-sparbank/431421308, https://www.ampliz.com/company/markaryds-sparbank/100935857, https://6sense.com/company/markaryds-sparbank/5ba618447c86660d3c746b34, https://www.markarydssparbank.se/privat/privatlan-och-krediter/medlemslan.html, https://www.markarydssparbank.se/privat/rantor-priser-och-kurser/rantor.html, https://www.markarydssparbank.se/privat/boende-och-bolan/bolan-for-olika-behov/bolan-med-rantetak.html, https://www.markarydssparbank.se/privat/rantor-priser-och-kurser.html, https://www.markarydssparbank.se/privat/rantor-priser-och-kurser/betalningstjanster.html, https://www.markarydssparbank.se/privat/spara-och-placera/sparkonton/fastrantekonto.html, https://www.markarydssparbank.se/privat/boende-och-bolan/rakna-pa-ditt-bolan/ranteskillnadsersattning.html, https://www.sparbankenskane.se/privat/rantor-priser-och-kurser/lanetjanster.html</t>
  </si>
  <si>
    <t>Variable (rörlig) interest rate, last changed 2024-11-15. No setup fee (uppläggningsavgift 0 kr) for Nyckelkund (key/loyalty customer); 300 SEK setup fee for standard customers (0 kr via phone/interne</t>
  </si>
  <si>
    <t>Moank AB</t>
  </si>
  <si>
    <t>https://www.moank.se/lana-pengar</t>
  </si>
  <si>
    <t>8.20%</t>
  </si>
  <si>
    <t>27.22%</t>
  </si>
  <si>
    <t>25000</t>
  </si>
  <si>
    <t>https://www.zoominfo.com/c/moank-ab/463884662, https://tracxn.com/d/companies/moank-ab/__4deU2ls7yL5dVEagwU-fHUY4qpbYJhioLcovVSpOTfI, https://www.crunchbase.com/organization/moank, https://nordic9.com/companies/moank-company4230217345/, https://eu-credits.com/credits-in-sweden/, https://www.riksgalden.se/en/our-operations/deposit-insurance/search-for-member-institutions/account-types-covered-by-the-insurance/moank-ab/, https://www.cbinsights.com/company/moank, https://www.monitorcm.se/en/companies/moank-fintech-group/, https://www.trustpilot.com/review/moank.se, https://www.linkedin.com/company/moank, https://www.moank.se/, https://enklare.se/partners/moank/, https://www.mystep.se/kreditgivare/moank, https://www.kreditkoll.nu/kreditgivare/moank, https://trygga.com/lana-pengar/langivare/moank/, https://xn--dittln-mua.se/langivare/moank/, https://www.payup.se/lan/, https://www.payup.se/lana-pengar/moank/, https://www.payup.se/lana-pengar/privatlan/moank/, https://finansvalp.se/omdomen/moank, https://finansvalp.se/omdomen/moank/privatlan, https://www.moank.se/spara-pengar, https://www.moank.se/kundtjanst, https://kredit.nu/langivare/moank/</t>
  </si>
  <si>
    <t>Moank AB är ett kreditmarknadsbolag med tillstånd av Finansinspektionen (org.nr: 559000-0237). Nominell ränta sätts individuellt och låg på 7,90%–17,95% per oktober 2024 (höjdes med 2% den 2024-10-30)</t>
  </si>
  <si>
    <t>Morrow Bank AB</t>
  </si>
  <si>
    <t>https://morrowbank.se/lan/privatlan</t>
  </si>
  <si>
    <t>7.00%</t>
  </si>
  <si>
    <t>18.25%</t>
  </si>
  <si>
    <t>https://ir.morrowbank.com/, https://thebanks.eu/banks/19672, https://ir.morrowbank.com/long-term-ambitions, https://ir.morrowbank.com/news/swedish-banking-license, https://www.vinge.se/en/mandates/morrow-bank-s-swedish-subsidiary-has-received-a-banking-license/, https://kistefos.no/portfolio/active/komplett-bank-asa/, https://simplywall.st/stocks/se/banks/sto-morrow/morrow-bank-shares, https://www.jitta.com/stock/swe:morrow?feature=widget-related-stock, https://mfn.se/all/a/komplett-bank, https://ir.morrowbank.com/news/agreement-to-acquire-moank-loan-portfolio, https://www.kapitalkoll.se/blog/morrow-bank-omdome-2025-lan-ranta-och-recensioner, https://www.kapitalkoll.se/blog/morrow-bank-2, https://www.kapitalkoll.se/blog/morrow-bank-sparkonto-ranta-och-omdomen-2025, https://morrowbank.se/priser-och-villkor?category=kreditkort, https://www.kapitalkoll.se/blog/morrow-bank, https://morrowbank.se/, https://www.kapitalkoll.se/blog/morrow-bank-kontakt-i-sverige-telefon-och-support, https://morrowbank.se/lan, https://www.mystep.se/kreditgivare/morrowbank, https://morrowbank.com/, https://www.kreditkoll.nu/kreditgivare/morrowbank, https://trygga.com/lana-pengar/langivare/morrow-bank/, https://www.xn--lnen-qoa.se/morrow-bank/, https://www.sambla.se/partners/morrowbank/, https://www.payup.se/lan/morrow-bank/, https://www.sambla.se/blogg/ranteavdrag-privatlan/, https://morrowbank.se/lan/privatlan</t>
  </si>
  <si>
    <t>Räntan är rörlig och sätts individuellt vid kreditbedömning. Kräver att låntagaren är folkbokförd i Sverige i minst 36 månader, har stabil inkomst och är fri från betalningsanmärkningar. Uppläggningsa</t>
  </si>
  <si>
    <t>Nordea Bank Abp, filial i Sverige</t>
  </si>
  <si>
    <t>https://www.nordea.se/privat/produkter/lan/privatlan.html</t>
  </si>
  <si>
    <t>5.24%</t>
  </si>
  <si>
    <t>13.97%</t>
  </si>
  <si>
    <t xml:space="preserve">Långivare: Nordea Bank Abp, filial i Sverige (org.nr 516411-1683). Nominell ränta: 4,95%–12,95% (rörlig, sätts individuellt). Effektiv ränta: 5,24%–13,97%, beräknad enligt Konsumentverkets riktlinjer </t>
  </si>
  <si>
    <t>Nordea Finans Sverige AB</t>
  </si>
  <si>
    <t>https://www.nordeafinance.se/privat/produkter/bilfinansiering/billan.html</t>
  </si>
  <si>
    <t>6.65%</t>
  </si>
  <si>
    <t>7.18%</t>
  </si>
  <si>
    <t>80% of vehicle value (no stated SEK ceiling)</t>
  </si>
  <si>
    <t>100000 SEK</t>
  </si>
  <si>
    <t>https://thebanks.eu/banks/17643, https://www.nordea.com/en/our-services/nordea-finance, https://www.bloomberg.com/profile/company/7288186Z:SS, https://thebanks.eu/banks/17576, https://www.nordeafinance.fi/en/personal/about-nordea-finance.html, https://pickthebank.eu/banks/sweden/nordea-bank-abp-filial-i-sverige-ndeasegg/, https://en.wikipedia.org/wiki/Nordea, https://www.nordea.fi/en/personal/our-services/loans/home-loans/secured-consumer-credit.html, https://www.dnb.com/business-directory/company-profiles.nordea_finans_sverige_ab.bbcf17df5d5a94f12b00e6d98286ee4d.html, https://flow.nordeafinans.se/, https://www.nordea.fi/sv/privat/vara-tjanster/lan/bostadslan/konsumentkredit-med-sakerhet.html, https://www.nordea.fi/sv/privat/vara-tjanster/lan/konsumentkredit/, https://www.nordeafinance.se/Images/160-80061/NF-konto_villkor.pdf, https://www.allabolag.se/foretag/nordea-finans-sverige-ab/stockholm/finansbolag-finansiella-tj%C3%A4nster/2JYEMMRI5YE9Q, https://www.nordeafinance.se/om-oss/faq.html, https://www.nordea.se/Images/154-143771/Privatlan-Konsumentkredit_7792.pdf, https://www.creditsafe.com/business-index/en-us/company/nordea-finans-sverige-ab-se00558232, https://www.nordeafinans.se/nordea-finans-foretag/produkter-och-tjanster/leverantorsamarbete/Leverantorssamarbeten.html, https://www.nordea.fi/sv/privat/stod/vanliga-fragor-om-lan-och-krediter.html, https://www.nordeafinance.se/privat/produkter/bilfinansiering/billan.html, https://www.nordeafinance.se/privat/produkter/bilfinansiering/Fritidslan.html, https://www.nordeafinance.se/privat/produkter/fordonsfinansiering.html, https://www.nordeafinance.se/privat/ranteandring.html, https://www.nordeafinance.se/privat/kundservice/fragor-och-svar-om-bilfinansiering.html, https://www.nordea.se/privat/produkter/lan/billan.html, https://www.nordeafinance.se/privat/produkter/MinaSidor.html, https://www.nordeafinance.se/, https://www.nordeafinance.se/privat/produkter/arsbesked.html</t>
  </si>
  <si>
    <t>Nordea Finans Sverige AB (org.nr 556021-1475) is a wholly owned subsidiary of Nordea Bank, authorised and supervised by Finansinspektionen. Its primary consumer-facing product under nordeafinance.se i</t>
  </si>
  <si>
    <t>Northmill Bank AB</t>
  </si>
  <si>
    <t>https://www.northmill.com/se/lan/kontokredit/</t>
  </si>
  <si>
    <t>9.71%</t>
  </si>
  <si>
    <t>29.34%</t>
  </si>
  <si>
    <t>50000</t>
  </si>
  <si>
    <t>5 år</t>
  </si>
  <si>
    <t>https://thebanks.eu/banks/19165, https://www.northmill.com/se-en/about-us/news/northmill-group-q4-full-year-2025-financial-results/, https://thebanks.eu/banks/19300, https://www.northmill.com/se-en/about-us/news/interim-report-q3-2025/, https://www.northmill.com/se-en/about-us/, https://tracxn.com/d/companies/northmill/__29-2sCkzmuS16j2oOGdQ1i47PKuu1mRnPrhPAhOPZpw, https://www.preqin.com/data/profile/asset/northmill-bank-ab/412719, https://www.cbinsights.com/company/northmill-bank, https://www.crunchbase.com/organization/northmill, https://www.linkedin.com/company/northmill-ab/, https://www.northmill.com/se/, https://www.northmill.com/se/lana-pengar/, https://www.northmill.com/se/bolan/, https://www.northmill.com/se/hjalp/lan-och-krediter/, https://www.northmill.com/se/lan/kontokredit/, https://www.northmill.com/se/lan/, https://xn--lnutanuc-9za.se/langivare/northmill/, https://www.northmill.com/se/lan/samlingslan/, https://advisa.se/langivare/northmill/, https://lenders.se/lan/northmill-bank/, https://www.sambla.se/partners/northmill/, https://www.northmill.com/se/villkor/garantivillkor/, https://kreditium.se/loans/northmill-samlingslan/, https://www.northmill.com/se/lana-pengar/hopbakslan/, https://financer.se/recension/northmill/, https://xn--svenskaprivatln-ulb.se/northmill/, https://trygga.com/lana-pengar/langivare/northmill-bank/</t>
  </si>
  <si>
    <t>Northmill Bank AB erbjuder primärt kontokredit (revolverande kredit) mellan 1 000–50 000 SEK med individuell rörlig ränta 7,90%–21,90% (effektiv ränta 9,71%–29,34%). Uttagsavgift 245 SEK per uttag sam</t>
  </si>
  <si>
    <t>Resurs Bank Aktiebolag</t>
  </si>
  <si>
    <t>https://www.resursbank.se/lana-pengar/privatlan</t>
  </si>
  <si>
    <t>6.37%</t>
  </si>
  <si>
    <t>32.54%</t>
  </si>
  <si>
    <t>https://documenthandler.resurs.com/Dokument.pdf?docType=commonTerms&amp;land=SE&amp;customerType=NATURAL&amp;language=sv, https://documenthandler.resurs.com/Dokument.pdf?customerType=NATURAL&amp;docType=RB-annual-report-2024&amp;land=SE&amp;language=sv, https://documenthandler.resurs.com/Dokument.pdf?customerType=NATURAL&amp;docType=2023-annual-report-RB-2023-eng&amp;land=SE&amp;language=sv, https://live.euronext.com/sites/default/files/company_press_releases/attachments_oslo/2025/03/21/641946_Resurs%20Bank%20Annual%20Report%202024.pdf, https://krea.se/banker-och-langivare/resurs-bank/, https://www.kreditkoll.nu/kreditgivare/resursbank, https://thebanks.eu/banks/17566, https://pickthebank.eu/banks/sweden/resurs-bank-aktiebolag-resuse2h/, https://www.resursbank.se/merchant-guidelines, https://www.resursholding.com/sv/wp-content/uploads/sites/3/2025/11/resurs-holding-bokslutskommunike-2025-260213.pdf, https://www.resursbank.se/lana-pengar/privatlan, https://www.resursbank.se/lana-pengar, https://www.resursbank.se/ellosprivatlan, https://www.resursbank.se/ellosprivatlan/hoj-ditt-lan, https://documenthandler.resurs.com/Dokument.pdf?customerType=natural&amp;docType=commonTermsLoans&amp;land=SE&amp;language=sv, https://advisa.se/langivare/resurs-bank/, https://finansvalp.se/omdomen/resurs-bank/privatlan, https://www.resursbank.se/lana-pengar/hoj-ditt-lan, https://www.ordnabolan.se/privatlan/omdome/resurs-bank/</t>
  </si>
  <si>
    <t>Unsecured personal loan (privatlån utan säkerhet). Interest rate is variable and individually set based on credit assessment (UC credit check). Minimum annual income of SEK 240,000 required. No paymen</t>
  </si>
  <si>
    <t>Roslagens Sparbank</t>
  </si>
  <si>
    <t>https://www.roslagenssparbank.se/privat/privatlan-och-krediter/privatlandirekt-ansok.html</t>
  </si>
  <si>
    <t>7.76%</t>
  </si>
  <si>
    <t>not publicly specified (contact bank for exact maximum)</t>
  </si>
  <si>
    <t>not publicly specified (contact bank for exact minimum)</t>
  </si>
  <si>
    <t xml:space="preserve">5 years </t>
  </si>
  <si>
    <t>https://www.roslagenssparbank.se/privat/erbjudanden.html, https://www.roslagenssparbank.se/privat/privatlan-och-krediter/privatlandirekt-ansok.html, https://www.roslagenssparbank.se/privat/rantor-priser-och-kurser/lanetjanster.html, https://www.roslagenssparbank.se/, https://www.roslagenssparbank.se/privat/spara-och-placera/mifid/avtal-och-allmanna-villkor/avtal-och-allmanna-villkor-kunder-i-sverige.html, https://www.roslagenssparbank.se/privat/privatlan-och-krediter.html, https://www.bank24.se/konsumentkredit/, https://www.roslagenssparbank.se/privat/boende-och-bolan/rakna-pa-ditt-bolan/rorlig-eller-bunden-ranta.html, https://www.roslagenssparbank.se/privat/boende-och-bolan/ansok-om-lanelofte.html, https://www.roslagenssparbank.se/privat/boende-och-bolan/ansok-om-bolan.html, https://thebanks.eu/banks/17567, https://www.riksgalden.se/en/our-operations/deposit-insurance/search-for-member-institutions/account-types-covered-by-the-insurance/Roslagens-Sparbank/, https://www.roslagenssparbank.se/privat/digitala-tjanster/internetbanken.html, https://www.roslagenssparbank.se/om-oss.html, https://www.crunchbase.com/organization/roslagens-sparbank, https://www.roslagen.se/en/roslagens-sparbank, https://www.roslagensgk.com/vara-partners/roslagenssparbank/, https://www.linkedin.com/company/roslagenssparbank, https://www.roslagenssparbank.se/privat/boende-och-bolan/rakna-pa-ditt-bolan.html, https://www.roslagenssparbank.se/privat/boende-och-bolan/bolanerantor.html, https://www.roslagenssparbank.se/privat/boende-och-bolan.html, https://www.roslagenssparbank.se/privat/boende-och-bolan/flytta-ditt-bolan-till-oss.html, https://www.roslagenssparbank.se/privat/rantor-priser-och-kurser/spar-och-placeringstjanster.html</t>
  </si>
  <si>
    <t>Nominal interest rate is variable (rörlig) and individually set based on applicant's financial profile; rate span is 6.84%–16.34% (last changed 2025-01-08). Example: SEK 100,000 loan at 7.5% nominal r</t>
  </si>
  <si>
    <t>Sala Sparbank</t>
  </si>
  <si>
    <t>https://www.salasparbank.se/privat/privatlan-och-krediter/privatlandirekt-ansok.html</t>
  </si>
  <si>
    <t>16.09%</t>
  </si>
  <si>
    <t>https://www.salasparbank.se/privat/privatlan-och-krediter/privatlandirekt-ansok.html, https://www.salasparbank.se/privat/rantor-priser-och-kurser/lanetjanster.html, https://www.bank24.se/konsumentkredit/, https://www.salasparbank.se/privat/privatlan-och-krediter.html, https://www.salasparbank.se/privat/kort/kreditkort/kreditkort-mastercard.html, https://www.salasparbank.se/privat/privatlan-och-krediter/samla-lanen.html, https://www.salasparbank.se/privat/rantor-priser-och-kurser/spar-och-placeringstjanster.html, https://www.salasparbank.se/, https://www.kreditkoll.nu/kreditgivare/konsumentkredit, https://www.sambla.se/partners/konsumentkredit/, https://www.salasparbank.se/privat/digitala-tjanster/internetbanken.html, https://www.salasparbank.se/om-oss/kontakta-oss.html, https://www.bokasalasparbank.se/, https://www.salasparbank.se/om-oss/historia.html, https://www.salasparbank.se/om-oss/press.html, https://www.facebook.com/salasparbank/?locale=sv_SE, https://www.allabolag.se/foretag/sala-sparbank/sala/finansbolag-finansiella-tj%C3%A4nster/2NU71T1I5YE9Q, https://www.riksgalden.se/sv/var-verksamhet/insattningsgarantin-och-investerarskyddet/sok-anslutna-banker-och-institut/kontoslag-som-omfattas/Sala-Sparbank/, https://www.mynewsdesk.com/se/salasparbank/contact_people, https://www.salasparbank.se/privat/boende-och-bolan/bolanerantor.html, https://www.salasparbank.se/privat/boende-och-bolan.html, https://www.salasparbank.se/privat/boende-och-bolan/rakna-pa-ditt-bolan.html, https://www.salasparbank.se/privat/boende-och-bolan/bolan-for-olika-behov/byggnadslan.html, https://www.salasparbank.se/privat/boende-och-bolan/bolan-for-olika-behov/overbryggningskredit.html, https://www.salasparbank.se/privat/privatlan-och-krediter/lana-till-bil/gront-billan.html</t>
  </si>
  <si>
    <t>Product: Privatlån (blancolån – unsecured consumer loan). Nominal interest rate is variable and set individually; the stated rate span is 5.95%–16.09% (last changed 2025-10-03). Representative example</t>
  </si>
  <si>
    <t>Santander Consumer Bank AS Norge, Sverige Filial</t>
  </si>
  <si>
    <t>https://www.santanderconsumer.se/lana/privatlan</t>
  </si>
  <si>
    <t>6.63%</t>
  </si>
  <si>
    <t>16.02%</t>
  </si>
  <si>
    <t>https://thebanks.eu/banks/17575, https://wise.com/us/swift-codes/countries/sweden/santander-consumer-bank-as-norge-sverige-filial, https://www.bloomberg.com/profile/company/319190Z:NO, https://www.yelp.com/biz/santander-consumer-bank-as-norge-sverige-filial-solna, https://aspireapp.com/swift-code-checker/santander-consumer-bank-as-norge-sverige-filial-bsnosessxxx/, https://unilocal.net/sweden/solna/santander-consumer-bank-as-norge-sverige-filial, https://www.opensanctions.org/entities/bic-BSNOSESS/, https://www.northdata.com/Santander%20Consumer%20Bank%20AS%20Norge,%20Sverige%20Filial,%20Stockholm/ON%205164060336, https://www.finanstilsynet.no/en/finanstilsynets-registry/details/?id=199046, https://qonto.com/en/swift-codes/countries/sweden/stockholm/santander-consumer-bank-as-norge-sverige-filial, https://trygga.com/lana-pengar/langivare/santander-consumer-bank/, https://www.santanderconsumer.se/lana/privatlan, https://www.santanderconsumer.se/, https://enklare.se/partners/santander/, https://www.mystep.se/kreditgivare/santander, https://www.ordnabolan.se/privatlan/omdome/santander-consumer-bank/, https://www.payup.se/lan/santander-bank/, https://www.kapitalkoll.se/blog/santander-consumer-bank-lan-sparkonton-och-inloggning, https://www.zmarta.se/lana-pengar/langivare/santander-consumer-bank, https://kreditval.se/recensioner/santander-consumer-bank/, https://www.santanderconsumer.se/kundservice/vanliga-fragor-och-svar/privatlan, https://www.santanderconsumer.se/kundservice/sjalvbetjaning/privatlan, https://www.kreditkoll.nu/kreditgivare/santander, https://kreditly.se/privatlan/santander/</t>
  </si>
  <si>
    <t>Legal entity: Santander Consumer Bank AS Norge, Sverige Filial (org. nr 516406-0336), supervised by Finansinspektionen. Interest rate is variable and individually set (nominal rate 6.44%–14.95%; effec</t>
  </si>
  <si>
    <t>SBAB Bank AB</t>
  </si>
  <si>
    <t>https://www.sbab.se/1/privat/lana/privatlan/privatlan_-_sa_funkar_det.html</t>
  </si>
  <si>
    <t>4.85%</t>
  </si>
  <si>
    <t>9.30%</t>
  </si>
  <si>
    <t>https://www.kreditkoll.nu/kreditgivare/sbab, https://www.mystep.se/kreditgivare/sbab, https://finansvalp.se/omdomen/sbab/privatlan, https://www.sbab.se/1/privat/bolan.html, https://www.bank24.se/sbab-bank/, https://finansklubben.se/ekonomi/banker-lan/lana-till-kontantinsats/lana-till-kontantinsats-regler-och-banker-2025/, https://www.hittalanet.se/langivare/sbab, https://www.xn--bramklare-y2a.se/langivare/sbab, https://www.xn--affrslivet-s5a.com/blogs/sbab-ranta, https://www.sverigekredit.se/recensioner/sbab/privatlan, https://www.sbab.se/1/privat/lana/privatlan/privatlan_-_sa_funkar_det.html, https://www.sbab.se/1/privat/kundservice/service/privatlan/rantor.html, https://www.sbab.se/1/privat/vara_rantor/vara_privatlanerantor.html, https://www.sbab.se/1/privat/lana/bolan/bolan_-_sa_funkar_det.html, https://www.sbab.se/1/privat/vara_rantor.html, https://www.sbab.se/, https://www.sbab.se/1/privat/kundservice/service/betala_ditt_bolan.html, https://www.sbab.se/1/privat/lana/bolan/sa_blir_din_ranta.html, https://www.sbab.se/1/privat/kundservice/service/privatlan/ovrigt.html</t>
  </si>
  <si>
    <t>Only available to existing SBAB mortgage (bolån) customers. Rate is variable and set individually based on creditworthiness (UC credit check). No origination fee (uppläggningsavgift). No invoice fee i</t>
  </si>
  <si>
    <t>Sidensjö Sparbank</t>
  </si>
  <si>
    <t>https://www.sidensjosparbank.se/privat/privatlan-och-krediter/privatlandirekt-ansok.html</t>
  </si>
  <si>
    <t>unknown – not publicly specified; contact bank directly</t>
  </si>
  <si>
    <t>https://www.sidensjosparbank.se/, https://www.sidensjosparbank.se/privat/rantor-priser-och-kurser/lanetjanster.html, https://www.riksgalden.se/sv/var-verksamhet/insattningsgarantin-och-investerarskyddet/sok-anslutna-banker-och-institut/kontoslag-som-omfattas/Sidensjo-Sparbank/, https://www.sidensjosparbank.se/privat/privatlan-och-krediter/medlemslan.html, https://www.sidensjosparbank.se/privat/privatlan-och-krediter/privatlandirekt-ansok.html, https://www.bolagsfakta.se/5896006219-Sidensjo_sparbank, https://www.sidensjosparbank.se/privat/rantor-priser-och-kurser/spar-och-placeringstjanster.html, https://www.sidensjosparbank.se/privat/boende-och-bolan/rakna-pa-ditt-bolan/rorlig-eller-bunden-ranta.html, https://xn--lnesidor-9za.se/sidensjo-sparbank/, https://www.sidensjosparbank.se/privat/privatlan-och-krediter/samla-lanen.html, https://www.allabolag.se/foretag/sidensj%C3%B6-sparbank/sidensj%C3%B6/finansbolag-finansiella-tj%C3%A4nster/2PIBVIJI5YE9Q, https://www.facebook.com/sparbanksidensjo/, https://www.sidensjosparbank.se/om-oss/kontakta-oss/oppettider-och-kontorsuppgifter.html, https://www.sidensjosparbank.se/om-oss.html, https://cesam.nu/sidensjo-sparbank/, https://oppettider.net/spots/swedbank-sparbank-sidensjo-bredaker-be0c06ada5, https://www.eniro.se/sidensj%C3%B6+sparbank+sidensj%C3%B6/14939364/firma, https://www.sidensjosparbank.se/privat/privatlan-och-krediter/privatlandirekt-ansok/lana-100000.html, https://www.sidensjosparbank.se/privat/boende-och-bolan/bolanerantor.html, https://www.sidensjosparbank.se/privat/boende-och-bolan.html</t>
  </si>
  <si>
    <t>Variable (rörlig) interest rate set individually based on borrower's financial circumstances. Representative example (as of last rate change 2025-02-07): SEK 100,000 at 7.98% nominal rate over 5 years</t>
  </si>
  <si>
    <t>Skandinaviska Enskilda Banken AB</t>
  </si>
  <si>
    <t>https://seb.se/privat/privatlan-och-krediter/privatlan-enkla-lanet</t>
  </si>
  <si>
    <t>13.65%</t>
  </si>
  <si>
    <t>https://www.kreditkoll.nu/kreditgivare/seb, https://seb.se/, https://www.konsumentguiden.se/lana-pengar/bolan/seb-bolan-ranta-villkor-seb-bank/, https://advisa.se/langivare/seb/, https://loanscouter.com/se/langivare/seb/, https://www.xn--lnen-qoa.se/seb/, https://www.sambla.se/partners/, https://www.weforum.org/organizations/skandinaviska-enskilda-banken-seb/, https://www.kreditjakt.se/privatlan/seb/, https://seb.se/privat/privatlan-och-krediter, https://seb.se/privat/tjanster/aktuella-rantor, https://seb.se/privat/bolan, https://seb.se/privat/privatlan-och-krediter/privatlan-enkla-lanet, https://seb.se/privat/bolan/bolanerantor, https://finansvalp.se/omdomen/seb/privatlan, https://www.ekonomifokus.se/bostad/lan/seb, https://seb.se/privat/bolan/hoja-bolan, https://seb.se/privat/bolan/hur-mycket-far-jag-lana</t>
  </si>
  <si>
    <t>Product name: 'Enkla lånet' (unsecured personal loan / blancolån). Interest rate is variable and set individually based on creditworthiness, loan size, and financial situation. A credit check (kreditp</t>
  </si>
  <si>
    <t>Skurups Sparbank</t>
  </si>
  <si>
    <t>https://www.skurupssparbank.se/privat/rantor-priser-och-kurser/lanetjanster.html</t>
  </si>
  <si>
    <t>17.34%</t>
  </si>
  <si>
    <t>https://www.skurupssparbank.se/privat/rantor-priser-och-kurser/spar-och-placeringstjanster.html, https://www.skurupssparbank.se/, https://www.riksgalden.se/sv/var-verksamhet/insattningsgarantin-och-investerarskyddet/sok-anslutna-banker-och-institut/kontoslag-som-omfattas/Skurups-Sparbank/, https://www.skurupssparbank.se/privat/rantor-priser-och-kurser/lanetjanster.html, https://www.skurupssparbank.se/privat/boende-och-bolan/rakna-pa-ditt-bolan/rorlig-eller-bunden-ranta.html, https://se.linkedin.com/company/skurupssparbank, https://www.skurupssparbank.se/privat/boende-och-bolan/bolanerantor.html, https://www.skurupssparbank.se/privat/rantor-priser-och-kurser.html, https://www.skurupssparbank.se/privat/rantor-priser-och-kurser/betalningstjanster.html, https://www.skurupssparbank.se/privat/digitala-tjanster.html, https://www.skurupssparbank.se/privat/digitala-tjanster/internetbanken.html, https://www.skurupssparbank.se/om-oss.html, https://www.riksgalden.se/en/our-operations/deposit-insurance/search-for-member-institutions/account-types-covered-by-the-insurance/Skurups-Sparbank/, https://thebanks.eu/banks/17572, https://www.creditsafe.com/business-index/en-us/company/skurups-sparbank-se00530971, https://www.bankplatser.nu/Public/Bankplats/22279, https://6sense.com/company/skurups-sparbank/5c3b0611d55ae49f1b7e9f48, https://www.facebook.com/skurupssparbank/?locale=sv_SE, https://oppettider.net/spots/swedbank-s-sparbank-skurup-stortorget-16bfeb0c28, https://www.skurupssparbank.se/privat/privatlan-och-krediter/privatlandirekt-ansok.html, https://www.skurupssparbank.se/privat/spara-och-placera/sparkonton/fastrantekonto.html, https://www.skurupssparbank.se/privat/boende-och-bolan/flytta-ditt-bolan-till-oss.html, https://www.skurupssparbank.se/privat/spara-och-placera/vardepapper/ranteplaceringar.html, https://www.skurupssparbank.se/privat/boende-och-bolan/rakna-pa-ditt-bolan.html, https://www.skurupssparbank.se/privat/privatlan-och-krediter/lana-till-bil/billan.html, https://www.skurupssparbank.se/privat.html, https://www.skurupssparbank.se/privat/boende-och-bolan.html</t>
  </si>
  <si>
    <t>Product: PrivatlånDirekt (unsecured personal loan). Nominal interest rate 7.20–17.34% (variable, individually determined, last updated 2024-05-24). Representative APR example: 9.78% (standard) / 9.63%</t>
  </si>
  <si>
    <t>Sörmlands Sparbank AB</t>
  </si>
  <si>
    <t>https://www.sormlandssparbank.se/privat/privatlan-och-krediter/privatlandirekt-ansok.html</t>
  </si>
  <si>
    <t>https://www.sormlandssparbank.se/privat/privatlan-och-krediter/privatlandirekt-ansok.html, https://www.sormlandssparbank.se/privat/rantor-priser-och-kurser/lanetjanster.html, https://www.sormlandssparbank.se/privat/rantor-priser-och-kurser/betalningstjanster.html, https://www.sormlandssparbank.se/privat/rantor-priser-och-kurser.html, https://www.sormlandssparbank.se/privat/privatlan-och-krediter.html, https://www.sormlandssparbank.se/privat/privatlan-och-krediter/medlemslan.html, https://www.sormlandssparbank.se/, https://www.sormlandssparbank.se/privat/rantor-priser-och-kurser/spar-och-placeringstjanster.html, https://www.sormlandssparbank.se/privat/privatlan-och-krediter/samla-lanen.html, https://www.sormlandssparbank.se/privat/kort/kreditkort/kreditkort-mastercard.html, https://www.sormlandssparbank.se/om-oss.html, https://thebanks.eu/banks/17588, https://www.facebook.com/sormlandssparbank/?locale=sv_SE, https://www.sormlandssparbank.se/foretag.html, https://se.linkedin.com/company/sormlands-sparbank, https://www.sormlandssparbank.se/privat/kundservice-privat.html, https://www.sormlandssparbank.se/om-oss/kontakta-oss/kontor.html, https://www.sparbanksstiftelsensormland.se/, https://www.allabolag.se/foretag/s%C3%B6rmlands-sparbank-ab/katrineholm/finansbolag-finansiella-tj%C3%A4nster/2DEJR5NI5YE9Q, https://www.sormlandssparbank.se/privat/boende-och-bolan.html, https://www.sormlandssparbank.se/privat/boende-och-bolan/rakna-pa-ditt-bolan/rorlig-eller-bunden-ranta.html, https://www.sormlandssparbank.se/privat/boende-och-bolan/ansok-om-lanelofte.html, https://www.sormlandssparbank.se/privat/boende-och-bolan/bolanerantor.html, https://www.sormlandssparbank.se/privat/boende-och-bolan/flytta-ditt-bolan-till-oss.html, https://www.sormlandssparbank.se/privat.html</t>
  </si>
  <si>
    <t>Räntan är rörlig och bestäms individuellt (variable rate, set individually per borrower). Räntespann för privatlån: nominellt 5,95%–16,84% (senast ändrad 2024-11-15/2025-10-03 beroende på källa); effe</t>
  </si>
  <si>
    <t>Sparbanken Bergslagen AB</t>
  </si>
  <si>
    <t>https://www.sparbankenbergslagen.se/privat/privatlan-och-krediter/privatlandirekt-ansok.html</t>
  </si>
  <si>
    <t>https://www.riksgalden.se/sv/var-verksamhet/insattningsgarantin-och-investerarskyddet/sok-anslutna-banker-och-institut/kontoslag-som-omfattas/Sparbanken-Bergslagen-AB/, https://thebanks.eu/banks/17592, https://www.sparbankenbergslagen.se/, https://www.sparbankenbergslagen.se/privat/rantor-priser-och-kurser/spar-och-placeringstjanster.html, https://www.sparbankenbergslagen.se/privat/privatlan-och-krediter/privatlandirekt-ansok.html, https://se.linkedin.com/company/bergslagens-sparbank, https://www.sparbankenbergslagen.se/privat/boende-och-bolan/rakna-pa-ditt-bolan/rorlig-eller-bunden-ranta.html, https://www.sparbankenbergslagen.se/om-oss/sammanslagning-fragor--svar.html, https://www.sparbankenbergslagen.se/privat/rantor-priser-och-kurser/lanetjanster.html, https://www.sparbankenbergslagen.se/kontakt/vad-kan-vi-gora-battre.html, https://www.ecbs.org/banks/sweden/bergslagen-sparbank-ab/view-details.html, https://www.sparbankenbergslagen.se/privat/digitala-tjanster/internetbanken.html, https://thebanks.eu/banks/17520, https://www.sparbankenbergslagen.se/privat/boende-och-bolan.html, https://www.facebook.com/sparbankenbergslagen/?locale=sv_SE, https://www.riksgalden.se/en/our-operations/deposit-insurance/search-for-member-institutions/account-types-covered-by-the-insurance/Sparbanken-Bergslagen-AB/, https://se.linkedin.com/company/sparbanken-bergslagen</t>
  </si>
  <si>
    <t>Räntan är rörlig och sätts individuellt (senaste ränteändring 2025-10-03). Exempel: 100 000 kr med 7,73% ränta och 5 års återbetalningstid ger effektiv ränta 8,15% (8,01% för Nyckelkund). Uppläggnings</t>
  </si>
  <si>
    <t>Sparbanken Gotland</t>
  </si>
  <si>
    <t>https://www.sparbankengotland.se/privat/privatlan-och-krediter/privatlandirekt-ansok.html</t>
  </si>
  <si>
    <t>350000 SEK (online self-service; higher amounts available via branch appointment)</t>
  </si>
  <si>
    <t>Not publicly specified</t>
  </si>
  <si>
    <t>https://www.sparbankengotland.se/privat/privatlan-och-krediter/medlemslan.html, https://www.kreditkoll.nu/kreditgivare/konsumentkredit, https://www.bank24.se/konsumentkredit/, https://www.sparbankenskane.se/privat/privatlan-och-krediter/privatlandirekt-ansok.html, https://www.ordnabolan.se/privatlan/omdome/konsumentkredit/, https://advisa.se/langivare/konsumentkredit/, https://trygga.com/lana-pengar/konsumentkredit/, https://www.sparbankengotland.se/privat/kort/kreditkort/kreditkort-mastercard-guld.html, https://www.sparbankengotland.se/, https://trygga.com/lana-pengar/langivare/konsumentkredit-bank/, https://www.crunchbase.com/organization/sparbanken-gotland, https://www.riksgalden.se/en/our-operations/deposit-insurance/search-for-member-institutions/account-types-covered-by-the-insurance/Sparbanken-Gotland/, https://thebanks.eu/banks/17660, https://www.sparbankengotland.se/om-oss/kontakta-oss.html, https://www.sparbankengotland.se/privat/digitala-tjanster/internetbanken/help-to-log-in.html, https://sv.wikipedia.org/wiki/Sparbanken_Gotland, https://www.sparbankengotland.se/om-oss.html, https://www.facebook.com/sparbankengotland/, https://www.linkedin.com/company/sparbanken-gotland, https://www.sparbankengotland.se/privat/boende-och-bolan/bolanerantor.html, https://www.sparbankenskane.se/privat/rantor-priser-och-kurser/lanetjanster.html, https://www.sparbankenskane.se/privat/spara-och-placera/sparkonton/fastrantekonto.html, https://www.sparbankennord.se/privat/rantor-priser-och-kurser/lanetjanster.html, https://www.sparbankeneken.se/privat/privatlan-och-krediter/privatlandirekt-ansok.html, https://www.sparbankenskane.se/privat/rantor-priser-och-kurser/bolanerantor.html, https://finansklubben.se/ekonomi/banker-lan/lana-till-kontantinsats/lana-till-kontantinsats-regler-och-banker-2025/, https://www.sparbankenskane.se/privat/rantor-priser-och-kurser/spar-och-placeringstjanster.html, https://www.sparbankengotland.se/privat/privatlan-och-krediter.html, https://www.sparbankengotland.se/privat/privatlan-och-krediter/privatlandirekt-ansok.html, https://www.sparbankengotland.se/privat/privatlan-och-krediter/lana-till-bil/billan.html, https://www.sparbankengotland.se/privat/privatlan-och-krediter/lana-till-bil.html, https://www.sparbankengotland.se/privat/livet/boende/kopa-bostad/boendekollen.html, https://www.sparbankengotland.se/privat/boende-och-bolan/bolan-for-olika-behov/handpenningslan.html, https://www.sparbankengotland.se/privat/boende-och-bolan/bolan-for-olika-behov/byggnadslan.html, https://www.sparbankengotland.se/privat/kort/kreditkort/kreditkort-mastercard-platinum.html</t>
  </si>
  <si>
    <t>Variable (rörlig) interest rate, individually set after credit assessment via UC. Representative example: 100 000 SEK at 7.98% nominal rate, 5-year term, straight-line amortisation (rak amortering), e</t>
  </si>
  <si>
    <t>Sparbanken Mälardalen AB</t>
  </si>
  <si>
    <t>https://www.sparbankenmalardalen.se/privat/privatlan-och-krediter/privatlandirekt-ansok.html</t>
  </si>
  <si>
    <t>Not explicitly published on the product page; prislista (lånetjänster) does not state a formal ceiling for Privatlån — contact bank for individual assessment</t>
  </si>
  <si>
    <t>Not explicitly stated for Privatlån on the product page</t>
  </si>
  <si>
    <t>18 (standard Swedish consumer credit requirement; not explicitly stated on the product page)</t>
  </si>
  <si>
    <t>https://www.sparbankenmalardalen.se/, https://www.sparbankenmalardalen.se/privat/uppdaterade-villkor.html, https://www.sparbankenmalardalen.se/privat.html, https://www.sparbankenvm.se, https://sparbankenvm.se/privat/spara-och-placera/vardepapper/strukturerade-produkter/kurser-och-slutliga-villkor/slutliga-villkor-spax.html, https://www.sparbankenvm.se/privat/boende-och-bolan/bolaneerbjudande.html, https://www.sparbankenmalardalen.se/privat/rantor-priser-och-kurser/spar-och-placeringstjanster.html, https://sparbankenvm.se/privat/rantor-priser-och-kurser/lanetjanster.html, https://thebanks.eu/banks/17619, https://www.sparbankenmalardalen.se/privat/boende-och-bolan/fastighetsbyran-bolaneerbjudande.html, https://www.bloomberg.com/profile/company/3241107Z:SS, https://thebanks.eu/banks/17587, https://nordiccreditrating.com/issuer/sparbanken-malardalen-ab-publ?language_content_entity=en, https://www.sparbankenvm.se/privat/digitala-tjanster/internetbanken.html, https://www.sparbanksstiftelsenvm.se/, https://www.sparbankenvm.se/om-oss.html, https://www.sparbankenmalardalen.se/privat/rantor-priser-och-kurser/lanetjanster.html, https://www.sparbankenmalardalen.se/privat/privatlan-och-krediter/privatlandirekt-ansok.html, https://www.sparbankenmalardalen.se/privat/privatlan-och-krediter/privatlandirekt-ansok/lana-30000.html, https://www.sparbankenmalardalen.se/privat/privatlan-och-krediter/privatlandirekt-ansok/lana-100000.html, https://www.sparbankenmalardalen.se/privat/boende-och-bolan/rakna-pa-ditt-bolan/rorlig-eller-bunden-ranta.html, https://www.sparbankenmalardalen.se/privat/privatlan-och-krediter/lana-till-andra-fordon-fritidslan/lana-till-mc-lan-till-motorcykel.html, https://www.sparbankenmalardalen.se/privat/boende-och-bolan.html, https://www.sparbankenmalardalen.se/privat/privatlan-och-krediter/samla-lanen.html, https://www.sparbankenmalardalen.se/privat/boende-och-bolan/bolan-ung.html</t>
  </si>
  <si>
    <t>1) Sparbanken Mälardalen AB was formed on 1 September 2025 through the merger of Sparbanken Rekarne and Sparbanken Västra Mälardalen. 2) The nominal interest rate is variable (rörlig) and individually</t>
  </si>
  <si>
    <t>Sparbanken Nord</t>
  </si>
  <si>
    <t>https://www.sparbankennord.se/privat/privatlan-och-krediter/privatlandirekt-ansok.html</t>
  </si>
  <si>
    <t>5.45%</t>
  </si>
  <si>
    <t>not explicitly stated on product page; repayment term scaling suggests up to several hundred thousand SEK – exact cap not published</t>
  </si>
  <si>
    <t>https://www.sparbankennord.se/privat/privatlan-och-krediter/privatlandirekt-ansok.html, https://www.sparbankennord.se/privat/rantor-priser-och-kurser/lanetjanster.html, https://www.sparbankennord.se/privat/privatlan-och-krediter/privatlandirekt-ansok/lana-30000.html, https://www.kreditkoll.nu/kreditgivare/konsumentkredit, https://www.sparbankennord.se/privat/privatlan-och-krediter.html, https://www.sparbankennord.se/privat.html, https://www.sparbankennord.se/privat/privatlan-och-krediter/medlemslan.html, https://www.sparbankennord.se/privat/privatlan-och-krediter/samla-lanen.html, https://www.ordnabolan.se/privatlan/omdome/konsumentkredit/, https://www.nordnet.se/se/tjanster/lan/privatlan, https://www.nib.int/loan/sparbanken-nord-22681, https://www.sparbankennord.se/en/private.html, https://www.sparbankennord.se/en/about-sparbanken-nord.html, https://www.zoominfo.com/c/sparbanken-nord/372657112, https://thebanks.eu/banks/17582/products_and_services, https://www.crunchbase.com/organization/sparbanken-nord, https://www.bloomberg.com/profile/company/1466Z:SS, https://www.riksgalden.se/en/our-operations/deposit-insurance/search-for-member-institutions/account-types-covered-by-the-insurance/Sparbanken-Nord/, https://www.sparbankennord.se/en/corporates.html, https://www.cbinsights.com/company/sparbanken-nord, https://www.sparbankennord.se/privat/boende-och-bolan/ansok-om-lanelofte.html, https://www.sparbankennord.se/privat/boende-och-bolan/ansok-om-bolan.html, https://www.sparbankennord.se/privat/boende-och-bolan/rakna-pa-ditt-bolan.html, https://www.sparbankennord.se/privat/boende-och-bolan/bolanerantor.html, https://www.sparbankennord.se/privat/rantor-priser-och-kurser/spar-och-placeringstjanster.html, https://www.sparbankennord.se/privat/privatlan-och-krediter/lana-till-bil/billan.html</t>
  </si>
  <si>
    <t>1) Nominal (rörlig) interest rate span: 5.45%–10.30% (last updated 2025-10-17); the rate is individual and credit-assessed. 2) Representative example: SEK 100,000 at 7.98% variable rate, 5-year straig</t>
  </si>
  <si>
    <t>Sparbanken Sjuhärad AB</t>
  </si>
  <si>
    <t>https://www.sparbankensjuharad.se/privat/privatlan-och-krediter/privatlan.html</t>
  </si>
  <si>
    <t>7.26%</t>
  </si>
  <si>
    <t>19.00%</t>
  </si>
  <si>
    <t>not publicly disclosed (placeholder on product page; contact bank for details)</t>
  </si>
  <si>
    <t>https://www.fi.se/sv/vara-register/prospektregistret/GetFile/?id=23-32236&amp;format=application/pdf&amp;name=23-32236.pdf, https://www.sparbankensjuharad.se/, https://www.sparbankensjuharad.se/privat/rantor-priser-och-kurser/spar-och-placeringstjanster.html, https://www.sparbankensjuharad.se/privat/boende-och-bolan/rakna-pa-ditt-bolan/rorlig-eller-bunden-ranta.html, https://www.sparbankensjuharad.se/om-webbplatsen/anvandarvillkor.html, https://www.sparbankensjuharad.se/privat/vara-kundpaket/nyckelkund.html, https://www.sparbankensjuharad.se/privat/bli-kund.html, https://www.sparbankensjuharad.se/om-oss/anvandarvillkor.html, https://www.sparbankensjuharad.se/privat/digitala-tjanster/digital-post/uppdaterade-villkor.html, https://www.sparbankensjuharad.se/privat/kundservice-privat.html, https://www.sparbankensjuharad.se/privat/privatlan-och-krediter/privatlan.html, https://www.sparbankensjuharad.se/privat/rantor-priser-och-kurser/rantor.html, https://www.sparbankensjuharad.se/privat/boende-och-bolan.html, https://www.sparbankensjuharad.se/privat/rantor-priser-och-kurser.html, https://www.sparbankensjuharad.se/privat/boende-och-bolan/bolanerantor.html, https://www.sparbankensjuharad.se/privat/boende-och-bolan/rakna-pa-ditt-bolan.html, https://www.sparbankensjuharad.se/privat/spara-och-placera/sparkonton/fastrantekonto.html, https://www.sparbankensjuharad.se/privat/boende-och-bolan/ansok-om-bolan.html, https://www.sparbankensjuharad.se/privat/privatlan-och-krediter/samla-lanen.html, https://www.sparbankensjuharad.se/privat/boende-och-bolan/ansok-om-lanelofte.html, https://www.sparbankensjuharad.se/privat/spara-och-placera.html</t>
  </si>
  <si>
    <t>Per the official product page (last rate change 2025-10-21): nominal rate span is 6.90%–15.90% (variable/rörlig). Representative example: SEK 100,000 loan at 6.90% nominal, 5-year straight-line amorti</t>
  </si>
  <si>
    <t>Sparbanken Skåne AB</t>
  </si>
  <si>
    <t>https://www.sparbankenskane.se/privat/privatlan-och-krediter/privatlandirekt-ansok.html</t>
  </si>
  <si>
    <t>5.00%</t>
  </si>
  <si>
    <t>https://www.sparbankenskane.se/privat/privatlan-och-krediter/privatlandirekt-ansok.html, https://www.sparbankenskane.se/privat/privatlan-och-krediter.html, https://www.sparbankenskane.se/privat/rantor-priser-och-kurser/lanetjanster.html, https://www.sparbankenskane.se/privat.html, https://www.sparbankenskane.se/privat/erbjudanden.html, https://www.sparbankenskane.se/privat/privatlan-och-krediter/samla-lanen.html, https://www.sparbankenskane.se/privat/kort/kreditkort/kreditkort-mastercard.html, https://www.sparbankenskane.se/foretag/foretagslan-och-finansiera.html, https://www.sparbankenskane.se/privat/uppdaterade-villkor.html, https://www.sparbankenskane.se/privat/boende-och-bolan/bolan-for-olika-behov.html, https://www.sparbankenskane.se/, https://www.nib.int/loan/sparbanken-skane-22169, https://thebanks.eu/banks/17625, https://www.crunchbase.com/organization/sparbanken-sk%C3%A5ne, https://cbonds.com/company/191459/, https://www.sparbankenskane.se/privat/boende-och-bolan.html, https://www.sparbankenskane.se/om-webbplatsen/linking-to-sparbanken-skane.html, https://www.facebook.com/sparbankenskane/?locale=sv_SE, https://www.cbinsights.com/company/sparbanken-skne, https://www.sparbankensyd.se/, https://www.sparbankenskane.se/privat/privatlan-och-krediter/lana-till-bil/billan.html, https://www.sparbankenskane.se/privat/privatlan-och-krediter/privatlandirekt-ansok/lana-30000.html, https://www.sparbankenskane.se/privat/boende-och-bolan/rakna-pa-ditt-bolan.html, https://www.sparbankenskane.se/privat/privatlan-och-krediter/hallbarhetslan.html, https://www.sparbankenskane.se/privat/boende-och-bolan/erbjudande-foer-vara-bolanekunder.html</t>
  </si>
  <si>
    <t xml:space="preserve">Variable (rörlig) interest rate, set individually based on the borrower's financial circumstances. Rate span 5.95–17.15% (last changed 2025-10-10). No arrangement fee (uppläggningsavgift 0 kr) and no </t>
  </si>
  <si>
    <t>Sparbanken Skaraborg AB</t>
  </si>
  <si>
    <t>https://www.sparbankenskaraborg.se/privat/privatlan-och-krediter/privatlandirekt-ansok.html</t>
  </si>
  <si>
    <t>not publicly specified (placeholder on product page; contact bank for exact limit)</t>
  </si>
  <si>
    <t>https://www.sparbankenskaraborg.se/privat/rantor-priser-och-kurser/spar-och-placeringstjanster.html, https://www.sparbankenskaraborg.se/privat/boende-och-bolan/rakna-pa-ditt-bolan/rorlig-eller-bunden-ranta.html, https://www.sparbankenskaraborg.se/privat/rantor-priser-och-kurser/lanetjanster.html, https://www.sparbankenskaraborg.se/privat/boende-och-bolan.html, https://www.riksgalden.se/sv/var-verksamhet/insattningsgarantin-och-investerarskyddet/sok-anslutna-banker-och-institut/kontoslag-som-omfattas/Sparbanken-Skaraborg-AB/, https://www.fi.se/en/our-registers/prospektregistret/GetFile?id=25-6136&amp;format=application/pdf&amp;name=25-6136.pdf, https://www.sparbankenskaraborg.se/, https://www.sparbankenskaraborg.se/privat/boende-och-bolan/bolanerantor.html, https://www.ecbs.org/banks/sweden/sparbanken-skaraborg-ab/view-details.html, https://www.sparbankenskaraborg.se/privat/boende-och-bolan/ansok-om-bolan.html, https://www.zoominfo.com/c/sparbanken-skaraborg/431097727, https://thebanks.eu/banks/17583, https://www.bloomberg.com/profile/company/1161251D:SS, https://www.crunchbase.com/organization/sparbanken-skaraborg, https://nordiccreditrating.com/issuer/sparbanken-skaraborg-ab-publ?language_content_entity=en, https://www.riksgalden.se/en/our-operations/deposit-insurance/search-for-member-institutions/account-types-covered-by-the-insurance/Sparbanken-Skaraborg-AB/, https://www.sparbankenskaraborg.se/privat/digitala-tjanster/internetbanken.html, https://www.sparbankenskaraborg.se/kontakt/vara-kontor/skara.html, https://www.sparbankenskaraborg.se/privat/privatlan-och-krediter/medlemslan.html, https://www.sparbankenskaraborg.se/privat/privatlan-och-krediter/privatlandirekt-ansok.html, https://www.sparbankenskaraborg.se/privat/spara-och-placera/sparkonton/fastrantekonto.html, https://www.lsb.se/lana-pengar, https://www.sparbankenskane.se/privat/rantor-priser-och-kurser/lanetjanster.html, https://www.sparbankenskane.se/privat/privatlan-och-krediter/privatlandirekt-ansok.html, https://www.sparbankennord.se/privat/rantor-priser-och-kurser/lanetjanster.html, https://www.sparbankenskane.se/privat/erbjudanden.html, https://www.konsumentguiden.se/lana-pengar/privatlan/swedbank-privatlan/</t>
  </si>
  <si>
    <t>Rate is variable and individually set (senaste ränteändring 2025-10-03). Applicants must be 18+, have regular income (not benefits/student aid), no payment defaults, and a salary account with the bank</t>
  </si>
  <si>
    <t>Sparbanken Spira AB</t>
  </si>
  <si>
    <t>https://www.sparbankenspira.se/privat/privatlan-och-krediter/privatlandirekt-ansok.html</t>
  </si>
  <si>
    <t>https://thebanks.eu/banks/17597, https://www.riksgalden.se/en/our-operations/deposit-insurance/search-for-member-institutions/account-types-covered-by-the-insurance/Sparbanken-Spira-AB/, https://www.creditsafe.com/business-index/en-us/company/sparbanken-spira-ab-se00453254, https://www.sparbankenspira.se/en/private.html, https://www.largestcompanies.com/company/Tjustbygdens-Sparbank-Bank-AB-2313, https://www.facebook.com/sparbankenspira/?locale=sv_SE, https://se.linkedin.com/company/sparbanken-spira, https://www.riksbank.se/en-gb/markets/interest-free-deposits-deposit-requirement/for-credit-institutions-subject-to-the-deposit-requirement/list-of-credit-institutions/, https://www.sparbankenspira.se/en/about-sparbanken-spira.html, https://www.swedbank.com/openbanking/faq.html, https://www.sparbankenspira.se/, https://www.sparbankenspira.se/om-oss/om-sparbanken.html, https://www.sparbankenspira.se/en/private/digital-services.html, https://www.sparbankenspira.se/privat/digitala-tjanster/internetbanken.html, https://www.sparbankenspira.se/kontakta-oss.html, https://sv.wikipedia.org/wiki/Sparbanken_Spira, https://www.sparbankenspira.se/privat/boende-och-bolan/bolanerantor.html, https://www.sparbankenspira.se/privat/privatlan-och-krediter/privatlandirekt-ansok.html, https://www.sparbankenspira.se/privat/spara-och-placera/manadssparkonto.html, https://www.sparbankenspira.se/privat/vara-kundpaket/nyckelkund.html, https://www.sparbankenspira.se/privat/boende-och-bolan/rakna-pa-ditt-bolan/rorlig-eller-bunden-ranta.html, https://www.sparbankenspira.se/privat/spara-och-placera/valj-sparform.html, https://www.sparbankenspira.se/privat/boende-och-bolan.html, https://www.sparbankenspira.se/privat/rantor-priser-och-kurser/rantor.html, https://www.sparbankenspira.se/privat/spara-och-placera/fastrantekonto.html, https://www.sparbankenspira.se/privat/livet/boende/bunden-eller-rorlig-ranta-vi-reder-ut-begreppen.html, https://www.sparbankenspira.se/privat/privatlan-och-krediter/lana-till-bil.html, https://www.sparbankenspira.se/privat/privatlan-och-krediter/samla-lanen.html, https://www.sparbankenspira.se/privat/privatlan-och-krediter/lana-till-bil/gront-billan.html, https://www.sparbankenspira.se/privat/boende-och-bolan/rakna-pa-ditt-bolan.html, https://www.sparbankenspira.se/privat/privatlan-och-krediter/medlemslan.html, https://www.sparbankenboken.se/privat/privatlan-och-krediter/privatlandirekt-ansok.html, https://www.sparbankenskane.se/privat/privatlan-och-krediter/privatlandirekt-ansok.html</t>
  </si>
  <si>
    <t>Product: Privatlån (unsecured personal loan / blancolån). Interest rate is variable and set individually based on the borrower's financial situation. Digital applications are capped at SEK 350 000; am</t>
  </si>
  <si>
    <t>Sparbanken Syd</t>
  </si>
  <si>
    <t>https://www.sparbankensyd.se/sv/privat/lana/blancolan/privatlan</t>
  </si>
  <si>
    <t>5.67%</t>
  </si>
  <si>
    <t>9.90%</t>
  </si>
  <si>
    <t xml:space="preserve">10 år </t>
  </si>
  <si>
    <t>https://www.sparbankensyd.se/om-oss/sakerhet-kundskydd/produktvillkor, https://www.sparbankensyd.se/vardagstjanster/rantor-och-villkor/produktvillkor/, https://www.mystep.se/kreditgivare/sparbankensyd, https://www.sparbankensyd.se/om-oss/finansiell-information/upplaningsprogram, https://www.sparbankensyd.se/, https://www.sparbankensyd.se/sv/privat/lana/blancolan/privatlan, https://www.bank24.se/konsumentkredit/, https://www.saastopankki.fi/sv-se/lan/konsumtionskredit-utan-sakerhet, https://www.xn--lnea-qoa.se/privatlan/recensioner/sparbanken-syd/, https://advisa.se/langivare/konsumentkredit/, https://thebanks.eu/banks/17584, https://www.bloomberg.com/profile/company/0849443D:SS, https://pickthebank.eu/banks/sweden/sparbanken-syd-spsdse23/, https://leadiq.com/c/sparbanken-syd/5a1d857124000024005fed41, https://www.crunchbase.com/organization/sparbanken-syd, https://pitchbook.com/profiles/company/124275-34, https://www.cbinsights.com/company/sparbanken-syd, https://www.linkedin.com/company/sparbanken-syd/, https://www.zoominfo.com/c/sparbanken-syd/372843455, https://www.sparbankensyd.se/sv/privat/lana/bolan/hoja-bolan, https://www.sparbankensyd.se/sv/privat/lana/bolan, https://www.sparbankeneken.se/privat/privatlan-och-krediter/privatlandirekt-ansok.html, https://www.sparbankenikarlshamn.se/privat/privatlan-och-krediter/privatlandirekt-ansok.html, https://www.sparbankenskane.se/privat/privatlan-och-krediter/privatlandirekt-ansok.html, https://www.lanekoll.se/blogg/banken-med-lagst-bolaneranta-snittranta-under-2025, https://www.sparbankensjuharad.se/privat/boende-och-bolan.html, https://www.sparbankenspira.se/privat/boende-och-bolan/bolanerantor.html</t>
  </si>
  <si>
    <t>Individuell räntesättning – slutlig ränta och belopp beror på kreditbedömning (via UC). Krav: fast inkomst från anställning eller pension, minst 180 000 kr/år (ca 15 000 kr/mån), inga betalningsanmärk</t>
  </si>
  <si>
    <t>Sparbanken Tanum</t>
  </si>
  <si>
    <t>https://www.sparbankentanum.se/privat/privatlan-och-krediter/privatlandirekt-ansok.html</t>
  </si>
  <si>
    <t>8.56%</t>
  </si>
  <si>
    <t>7.98%</t>
  </si>
  <si>
    <t>https://www.sparbankentanum.se/privat/privatlan-och-krediter/privatlandirekt-ansok.html, https://www.sparbankentanum.se/privat/privatlan-och-krediter/samla-lanen/index.htm, https://www.sparbankentanum.se/privat/spara-och-placera/vardepapper/strukturerade-produkter/kurser-och-slutliga-villkor/slutliga-villkor-spax.html, https://www.sparbankentanum.se/privat/kort-och-betala/kort/kreditkort/kreditkort-mastercard.html, https://www.sparbankentanum.se/privat/rantor-priser-och-kurser/lanetjanster.html, https://www.sparbankentanum.se/privat/privatlan-och-krediter.html, https://www.sparbankentanum.se/privat/rantor-priser-och-kurser/spar-och-placeringstjanster.html, https://www.sparbankentanum.se/privat/uppdaterade-villkor.html, https://www.sparbankentanum.se/, https://www.sparbankentanum.se/privat/tips-och-rad/hallbar-ekonomi/losa-lan.html, https://www.sparbankentanum.se/privat/digitala-tjanster/internetbanken.html, https://www.facebook.com/spbtanum/?locale=sv_SE, https://www.sparbankentanum.se/kontakta-oss.html, https://www.vastsverige.com/en/tanum/produkter/sparbanken-tanum/, https://www.sparbankentanum.se/privat/digitala-tjanster/kundcenter-privat.html, https://www.riksgalden.se/en/our-operations/deposit-insurance/search-for-member-institutions/account-types-covered-by-the-insurance/Sparbanken-Tanum/, https://www.sparbankentanum.se/om-oss.html, https://www.bankplatser.nu/Public/Bankplats/11591, https://www.spbtanum.se/sitemap.html</t>
  </si>
  <si>
    <t>Räntan är rörlig och sätts individuellt (senaste ränteändring 2025-02-14). Uppläggningsavgift: 588 kr. Aviseringsavgift: 0 kr (digitalt/internetbanken). Rak amortering tillämpas. Kräver regelbunden in</t>
  </si>
  <si>
    <t>Svea Bank AB</t>
  </si>
  <si>
    <t>https://www.svea.com/sv-se/privat/lana/privatlan/</t>
  </si>
  <si>
    <t>8.87%</t>
  </si>
  <si>
    <t>29.99%</t>
  </si>
  <si>
    <t>https://www.svea.com/globalassets/sweden/foretag/f%C3%B6retagsbanken/01-paket-och-tjanster/villkor-och-avtal/allm%C3%A4nna-villkor-f%C3%B6retagsl%C3%A5n-2024.1.pdf, https://www.golvpoolen.se/kopvillkor/betalningsalternativ/, https://www.svea.com/globalassets/sweden/bankvillkor/terms-bus-cred-2024.1.pdf, https://www.mystep.se/kreditgivare/sveaekonomi, https://www.payup.se/lana-pengar/svea-bank/, https://www.svea.com/globalassets/sweden/privat/konto--kort/allm%C3%A4nna-villkor-bankkonton-privatpersoner-2024.1.pdf, https://www.kreditkoll.nu/kreditgivare/sveabank, https://www.wexthuset.com/wexthuset-info/villkor-svea-bank, https://www.mystep.se/kreditgivare/sveaforetag, https://www.lanupplysningen.se/svea-ekonomi/, https://www.svea.com/en-gb, https://thebanks.eu/banks/18339/products_and_services, https://thebanks.eu/banks/17519, https://thebanks.eu/banks/17589, https://www.laatukaluste.com/en/pages/svea, https://thebanks.eu/banks/19403, https://www.bloomberg.com/profile/company/0639778D:SS, https://www.linkedin.com/company/svea-bank, https://leadiq.com/c/svea-bank/5a1d96f223000059008595e1, https://www.svea.com/en-gb/financing, https://www.payup.se/lan/svea-bank/, https://www.konsumentguiden.se/lana-pengar/privatlan/svea-privatlan/, https://trygga.com/lana-pengar/langivare/svea-bank/, https://svea.com/se/sv/privat/l%C3%A5na/privatl%C3%A5n/konsumentl%C3%A5net, https://www.svea.com/sv-se/privat/l%C3%A5na, https://www.svea.com/sv-se/privat/l%C3%A5na/privatl%C3%A5n/sveal%C3%A5net, https://www.svea.com/sv-se/privat/artiklar-och-tips/content/kreditregler-2025-s%C3%A5-p%C3%A5verkas-du</t>
  </si>
  <si>
    <t xml:space="preserve">Nominal interest rate range: 6.95%–21.95% (individually set based on creditworthiness via UC credit check). Effective APR (effektiv ränta): 8.87%–29.99%. Three consumer loan variants: (1) Svealånet – </t>
  </si>
  <si>
    <t>Svenska Handelsbanken AB</t>
  </si>
  <si>
    <t>https://www.handelsbanken.se/sv/privat/andra-lan/privatlan</t>
  </si>
  <si>
    <t>8.17%</t>
  </si>
  <si>
    <t>https://www.handelsbanken.fi/sv/privat/villkor/standardiserad-europeisk-konsumentkreditinformation, https://www.kreditkoll.nu/kreditgivare/handelsbanken, https://www.handelsbanken.se/sv/privat/andra-lan/privatlan, https://www.mystep.se/kreditgivare/handelsbanken, https://www.handelsbanken.se/sv/privat/andra-lan/privatlan/avgifter-och-ranta-for-privatlanet, https://www.handelsbanken.se/sv/ekonomi-i-livet/privatekonomi/boendeekonomi/for-hushall/ranteskillnadsersattning, https://www.zmarta.se/tips-rad/om-lan/handelsbanken, https://normalaw.se/2025/04/03/nya-regler-i-konsumentkreditlagen-fr-o-m-1-mars-2025/, https://www.handelsbanken.se/sv/om-oss/juridiska-dokument/villkor, https://www.xn--lnen-qoa.se/handelsbanken/, https://www.handelsbanken.se/sv/om-oss/juridiska-dokument/prislistor-privat/prislista-lan/avgifter-och-ranta-for-privatlanet, https://www.handelsbanken.se/sv/privat/bolan/bolanerantor, https://xn--svenskaprivatln-ulb.se/handelsbanken-privatlan/, https://xn--privatlnlistan-rib.se/privatlan/handelsbanken-privatlan/, https://www.konsumentguiden.se/lana-pengar/privatlan/handelsbanken-privatlan/, https://xn--lnlgrnta-4zafc.se/handelsbanken/, https://www.hittalanet.se/langivare/handelsbanken, https://www.handelsbanken.se/sv/privat/andra-lan, https://www.handelsbanken.se/sv/privat/vardagstjanster/banktjanster-for-barn-och-unga/18ar, https://handelsbanken.se/sv/privat/barn-och-unga/18-ar-och-aldre, https://www.handelsbanken.se/sv/om-oss/juridiska-dokument/prislistor-privat/prislista-lan, https://www.handelsbanken.se/sv/ekonomi-i-livet/privatekonomi/boendeekonomi/kopa-bostad/bolan-egenforetagare, https://www.handelsbanken.se/sv/privat/bolan-och-andra-lan, https://www.handelsbanken.se/sv/ekonomi-i-livet/privatekonomi/vardagshjalp/vardagsekonomi/nya-regler-for-ranteavdrag</t>
  </si>
  <si>
    <t xml:space="preserve">Handelsbanken erbjuder två produkter: 'Privatlån Direkt' (30 000–150 000 SEK, ensamansökan, fasta standardvillkor, rörlig nominell ränta 7,65%, effektiv ränta 8,17% per 2025-09-01, uppläggningsavgift </t>
  </si>
  <si>
    <t>Swedbank AB</t>
  </si>
  <si>
    <t>https://www.swedbank.se/privat/privatlan-och-krediter/privatlandirekt-ansok.html</t>
  </si>
  <si>
    <t>17.43%</t>
  </si>
  <si>
    <t>https://www.konsumentguiden.se/lana-pengar/privatlan/swedbank-privatlan/, https://www.swedbank.se/privat/privatlan-och-krediter/privatlandirekt-ansok.html, https://www.swedbank.se/privat/rantor-priser-och-kurser/lanetjanster.html, https://www.kreditkoll.nu/kreditgivare/swedbank, https://www.swedbank.se/privat/boende-och-bolan/allmanna-kreditvillkor-swedbank-hypotek.html, https://www.mystep.se/kreditgivare/swedbank, https://trygga.com/lana-pengar/konsumentkredit/, https://www.swedbank.se/privat/privatlan-och-krediter.html, https://finansvalp.se/omdomen/swedbank/privatlan, https://www.swedbank.se/privat/privatlan-och-krediter/privatlandirekt-ansok/lana-30000.html, https://www.swedbank.se/en/private/mortgage/borrow-for-your-home.html, https://www.swedbank.se/en/private.html, https://www.swedbank.se/en/private/our-app.html, https://www.swedbank.se/en/private/mortgage/buying-a-home.html, https://hypotek.swedbank.se/en/interest-rates.html, https://hypotek.swedbank.se/en/, https://research.swedbank.se/default.aspx?cdguid=FA47E853-B59E-4634-B950-EB4ECB917CA4, https://hypotek.swedbank.se/en/about-swedbank.html, https://www.swedbank.se/</t>
  </si>
  <si>
    <t>Variable (rörlig) interest rate, set individually based on creditworthiness (UC credit check required; no payment remarks accepted). Setup fee (uppläggningsavgift) of SEK 300 applies; waived for 'Nyck</t>
  </si>
  <si>
    <t>TF Bank AB</t>
  </si>
  <si>
    <t>https://tfbank.se/lan</t>
  </si>
  <si>
    <t>7.51%</t>
  </si>
  <si>
    <t>28.58%</t>
  </si>
  <si>
    <t>22</t>
  </si>
  <si>
    <t>https://group.tfbank.se/en/, https://thebanks.eu/banks/17672, https://group.tfbank.se/en/tf-bank-in-brief/, https://pickthebank.eu/banks/sweden/tf-bank-ab-pullse21/, https://www.tfbankgroup.com/en/, https://www.zoominfo.com/c/tf-bank-ab/430518161, https://www.linkedin.com/company/tf-bank/, https://thebanks.eu/banks/19649, https://finance.yahoo.com/quote/TFBANK.ST/profile/, https://thebanks.eu/banks/18082/products_and_services, https://enklare.se/partners/tfbank/, https://www.mystep.se/kreditgivare/tfbank, https://tfbank.se/media/ph3l2f1h/villkor-tf-bank-nordic-privatlan.pdf, https://www.xn--lnen-qoa.se/tf-bank/, https://www.konsumentguiden.se/lana-pengar/privatlan/tf-bank/, https://tfbank.se/, https://www.ekonomifokus.se/bostad/lan/bolanerantor, https://www.lanupplysningen.se/privatlan/, https://enklare.se/lanetyper/privatlan/, https://www.sambla.se/blogg/ranteprognos/, https://tfbank.se/lan, https://spargrisarna.se/privatlan-och-blancolan-vad-galler/, https://www.bankfinder.se/vilken-aldersgrans-ar-det-pa-lan/, https://www.alltomspara.se/spara/tf-bank-tidigare-time-finans/, https://www.kreditkoll.nu/kreditgivare/tfbank, https://www.kreditkoll.nu/lan-alder</t>
  </si>
  <si>
    <t xml:space="preserve">Räntan är individuell och rörlig (nominell ränta 6,90–18,90 %), fastställd vid kreditbedömning via UC. Lånet är ett annuitetslån utan säkerhet. Uppläggningsavgift tillkommer (ca 390 kr) samt månatlig </t>
  </si>
  <si>
    <t>TF Bank Nordic AB</t>
  </si>
  <si>
    <t>150000 SEK</t>
  </si>
  <si>
    <t>10000 SEK</t>
  </si>
  <si>
    <t>https://group.tfbank.se/en/tf-bank-in-brief/, https://thebanks.eu/banks/19649, https://group.tfbank.se/en/, https://news.cision.com/tf-bank-ab--publ-/r/tf-bank-s-swedish-subsidiary-has-been-granted-a-license-to-operate-as-a-deposit-taking-financial-ins,c4076645, https://pickthebank.eu/banks/sweden/tf-bank-ab-pullse21/, https://thebanks.eu/banks/17672, https://finance.yahoo.com/quote/TFBANK.ST/profile/, https://finance.yahoo.com/quote/TFBANK.ST/, https://www.linkedin.com/company/tf-bank/, https://www.rgk.se/en/our-operations/deposit-insurance/search-for-member-institutions/account-types-covered-by-the-insurance/tf-bank-nordic-ab/, https://www.zoominfo.com/c/tf-bank-ab/430518161, https://trygga.com/lana-pengar/langivare/credento/, https://likvidum.se/lana-pengar/langivare/credento/, https://xn--lnero-mra.se/langivare/credento/, https://credento.se/, https://www.mystep.se/kreditgivare/credento, https://www.loanbuddy.se/privatlan/credento, https://kreditium.se/loans/credento/, https://www.lanekoll.se/partners/credento, https://www.kreditkoll.nu/kreditgivare/credento, https://www.xn--lnea-qoa.se/sms-lan/recensioner/credento/</t>
  </si>
  <si>
    <t>TF Bank Nordic AB (org.nr 559476-6379) is the legal lender (kreditgivare) behind the Credento Privatlån product in Sweden. The nominal interest rate ranges from 13.90% to 25.95% (variable/rörlig), yie</t>
  </si>
  <si>
    <t>Ulricehamns Sparbank</t>
  </si>
  <si>
    <t>https://www.ulricehamnssparbank.se/privat/privatlan-och-krediter/privatlandirekt-ansok.html</t>
  </si>
  <si>
    <t>not publicly specified (contact bank for exact maximum; repayment term up to 12 years suggests larger amounts possible)</t>
  </si>
  <si>
    <t>not publicly specified</t>
  </si>
  <si>
    <t>https://www.ulricehamnssparbank.se/privat/privatlan-och-krediter/privatlandirekt-ansok.html, https://www.ulricehamnssparbank.se/privat/rantor-priser-och-kurser/spar-och-placeringstjanster.html, https://www.ulricehamnssparbank.se/privat/rantor-priser-och-kurser/lanetjanster.html, https://www.ulricehamnssparbank.se/privat/privatlan-och-krediter.html, https://www.ulricehamnssparbank.se/, https://www.ulricehamnssparbank.se/privat/boende-och-bolan.html, https://www.ulricehamnssparbank.se/privat/boende-och-bolan/bolanerantor.html, https://www.ulricehamnssparbank.se/privat/rantor-priser-och-kurser.html, https://www.ulricehamnssparbank.se/privat/boende-och-bolan/bolaneerbjudande.html, https://www.ulricehamnssparbank.se/privat/boende-och-bolan/rakna-pa-ditt-bolan/rorlig-eller-bunden-ranta.html, https://thebanks.eu/banks/17599, https://www.riksgalden.se/en/our-operations/deposit-insurance/search-for-member-institutions/account-types-covered-by-the-insurance/Ulricehamns-Sparbank/, https://www.zoominfo.com/c/ulricehamns-sparbank/431353462, https://www.ulricehamnssparbank.se/privat/digitala-tjanster/internetbanken.html, https://www.facebook.com/ulricehamnssparbank/?locale=sv_SE, https://www.bankplatser.nu/Public/Bankplats/11603, https://www.sparbanken.se/om-oss.html, https://ulricehamnssparbank.teamtailor.com/pages/om-oss, https://ulricehamnssparbank.teamtailor.com/, https://www.ulricehamnssparbank.se/privat/spara-och-placera/sparkonton/fastrantekonto.html, https://www.ulricehamnssparbank.se/privat/boende-och-bolan/rakna-pa-ditt-bolan.html, https://www.ulricehamnssparbank.se/privat/boende-och-bolan/andra-ditt-bolan.html</t>
  </si>
  <si>
    <t>Product: Privatlån (blancolån – unsecured consumer loan). Nominal interest rate is variable and individually set within the range 6.20%–16.34% (last updated 2025-02-07). Representative APR example: 10</t>
  </si>
  <si>
    <t>Vadstena Sparbank</t>
  </si>
  <si>
    <t>https://www.vadstenasparbank.se/privat/privatlan-och-krediter/privatlandirekt-ansok.html</t>
  </si>
  <si>
    <t>https://www.vadstenasparbank.se/privat/privatlan-och-krediter/privatlandirekt-ansok.html, https://www.vadstenasparbank.se/privat/privatlan-och-krediter.html, https://www.vadstenasparbank.se/, https://www.vadstenasparbank.se/privat/rantor-priser-och-kurser/lanetjanster.html, https://www.vadstenasparbank.se/privat/privatlan-och-krediter/medlemslan.html, https://www.vadstenasparbank.se/privat/privatlan-och-krediter/kontokredit.html, https://www.vadstenasparbank.se/privat/kundservice-privat.html, https://www.vadstenasparbank.se/privat/bli-kund.html, https://www.vadstenasparbank.se/privat/spara-och-placera/sparkonton/fastrantekonto.html, https://www.vadstenasparbank.se/privat/digitala-tjanster/internetbanken.html, https://www.vadstenasparbank.se/om-oss.html, https://www.vadstenasparbank.se/kontakta-oss.html, https://thebanks.eu/banks/17601, https://www.bankplatser.nu/Public/Bankplats/11903, https://www.riksgalden.se/en/our-operations/deposit-insurance/search-for-member-institutions/account-types-covered-by-the-insurance/Vadstena-Sparbank/, https://www.vadstenasparbank.se/kontakta-oss/kontor.html, https://www.vadstenasparbank.se/privat/digitala-tjanster/bankid-dator.html, https://www.vadstenasparbank.se/privat/rantor-priser-och-kurser/spar-och-placeringstjanster.html, https://www.vadstenasparbank.se/privat/rantor-priser-och-kurser/rantor.html, https://www.vadstenasparbank.se/foretag/rantor-priser-och-kurser/rantor.html, https://www.vadstenasparbank.se/privat/spara-och-placera/sparkonton.html, https://www.vadstenasparbank.se/privat/boende-och-bolan/bolanerantor.html, https://www.borskollen.se/basta-sparrantan-jamfor</t>
  </si>
  <si>
    <t xml:space="preserve">Product is called 'PrivatlånDirekt' – an unsecured consumer loan (blancolån). The nominal interest rate is variable, set individually based on the borrower's financial circumstances (last rate change </t>
  </si>
  <si>
    <t>Vimmerby Sparbank AB</t>
  </si>
  <si>
    <t>https://www.vimmerbysparbank.se/privat/privatlan-och-krediter/privatlandirekt-ansok.html</t>
  </si>
  <si>
    <t>not publicly specified — contact bank for individual assessment</t>
  </si>
  <si>
    <t>https://www.vimmerbysparbank.se/, https://xn--lnesidor-9za.se/vimmerby-sparbank/, https://www.riksgalden.se/var-verksamhet/insattningsgarantin-och-investerarskyddet/sok-anslutna-banker-och-institut/kontoslag-som-omfattas/Vimmerby-Sparbank-AB/, https://www.vimmerbysparbank.se/privat/boende-och-bolan/rakna-pa-ditt-bolan/rorlig-eller-bunden-ranta.html, https://thebanks.eu/banks/17607, https://www.vimmerbysparbank.se/privat/privatlan-och-krediter/privatlandirekt-ansok.html, https://se.linkedin.com/company/vimmerby-sparbank, https://www.allabolag.se/5164010174/vimmerby-sparbank-ab, https://www.eniro.se/vimmerby+sparbank+ab+vimmerby/4013820/firma, https://www.vimmerbysparbank.se/privat/boende-och-bolan/fastighetsbyran.html, https://www.crunchbase.com/organization/vimmerby-sparbank, https://www.riksgalden.se/en/our-operations/deposit-insurance/search-for-member-institutions/account-types-covered-by-the-insurance/Vimmerby-Sparbank-AB/, https://www.zoominfo.com/c/vimmerby-sparbank-ab/425699575, https://www.facebook.com/p/Vimmerby-Sparbank-61556707192761/, https://www.bankplatser.nu/Public/Bankplats/11898, https://sv.wikipedia.org/wiki/Vimmerby_Sparbank, https://www.vimmerbysparbank.se/privat/boende-och-bolan/fastighetsbyran-bolaneerbjudande.html, https://www.vimmerbysparbank.se/privat/boende-och-bolan/bolan-for-olika-behov/bolan-lo-medlemmar.html, https://www.vimmerbysparbank.se/privat/boende-och-bolan/bolanerantor.html, https://www.vimmerbysparbank.se/privat/boende-och-bolan.html, https://www.vimmerbysparbank.se/privat/spara-och-placera/sparkonton/fastrantekonto.html, https://www.vimmerbysparbank.se/privat/boende-och-bolan/ansok-om-lanelofte.html, https://www.vimmerbysparbank.se/privat/boende-och-bolan/flytta-ditt-bolan-till-oss.html, https://www.vimmerbysparbank.se/privat/spara-och-placera/vardepapper/ranteplaceringar.html</t>
  </si>
  <si>
    <t>Nominal interest rate is variable (rörlig), set individually based on borrower's financial situation, range 5.95%–16.09% (last updated 2025-10-03). Representative example: SEK 100,000 loan at 7.73% no</t>
  </si>
  <si>
    <t>Virserums Sparbank</t>
  </si>
  <si>
    <t>https://www.virserumssparbank.se/privat/privatlan-och-krediter/privatlandirekt-ansok.html</t>
  </si>
  <si>
    <t>https://www.virserumssparbank.se/privat/privatlan-och-krediter/privatlandirekt-ansok.html, https://www.virserumssparbank.se/, https://www.virserumssparbank.se/privat/privatlan-och-krediter/medlemslan.html, https://thebanks.eu/banks/17608, https://www.virserumssparbank.se/privat/bli-kund.html, https://www.crunchbase.com/organization/virserums-sparbank, https://www.virserumssparbank.se/privat/privatlan-och-krediter/kontokredit.html, https://lexly.se/partners/virserums-sparbank, https://www.sparbankenskane.se/privat/privatlan-och-krediter/privatlandirekt-ansok.html, https://www.sambla.se/partners/konsumentkredit/, https://www.virserum.se/naringsliv/service/virserums-sparbank/, https://www.facebook.com/virserumssparbank/?locale=sv_SE, https://www.virserumssparbank.se/om-oss/kontakta-oss.html, https://www.virserumssparbank.se/privat/digitala-tjanster/mobilt-bankid.html, https://www.virserumssparbank.se/privat/spara-och-placera/sparkonton.html, https://www.reco.se/virserums-sparbank, https://www.virserumssparbank.se/privat/privatlan-och-krediter/samla-lanen.html, https://www.virserumssparbank.se/privat/privatlan-och-krediter/lana-till-bil/billan.html, https://www.virserumssparbank.se/privat/boende-och-bolan/rakna-pa-ditt-bolan.html, https://www.virserumssparbank.se/privat/boende-och-bolan/rakna-pa-ditt-bolan/rorlig-eller-bunden-ranta.html, https://www.virserumssparbank.se/privat/spara-och-placera/sparkonton/fastrantekonto.html, https://www.virserumssparbank.se/privat/boende-och-bolan/hoj-bolan.html, https://www.virserumssparbank.se/privat/boende-och-bolan/flytta-ditt-bolan-till-oss.html, https://www.virserumssparbank.se/privat/digitala-tjanster/internetbanken/fragor-och-svar-om-internetbanken-for-privatpersoner.html</t>
  </si>
  <si>
    <t>Product is called 'Privatlån Direkt' – an unsecured consumer loan with variable (floating) interest rate. Representative example (as of 2025-10-20): 100,000 SEK at 7.73% nominal rate, effective APR 8.</t>
  </si>
  <si>
    <t>Westra Wermlands Sparbank</t>
  </si>
  <si>
    <t>https://www.wwsparbank.se/privat/privatlan-och-krediter/privatlandirekt-ansok.html</t>
  </si>
  <si>
    <t>5.70%</t>
  </si>
  <si>
    <t>10 år</t>
  </si>
  <si>
    <t>https://www.wwsparbank.se/, https://www.wwsparbank.se/privat/boende-och-bolan/bolan-for-olika-behov.html, https://www.wwsparbank.se/privat/privatlan-och-krediter/privatlandirekt-ansok.html, https://www.wwsparbank.se/privat/boende-och-bolan.html, https://www.wwsparbank.se/privat/boende-och-bolan/ansok-om-bolan.html, https://www.wwsparbank.se/privat/kort/kreditkort.html, https://www.wwsparbank.se/privat/boende-och-bolan/rakna-pa-ditt-bolan.html, https://www.wwsparbank.se/privat/boende-och-bolan/genomsnittsrantor.html, https://www.wwsparbank.se/privat/boende-och-bolan/bolanerantor.html, https://www.wwsparbank.se/privat/kort/kortvillkor.html, https://en.wikipedia.org/wiki/Westra_Wermlands_Sparbank, https://www.wwsparbank.se/privat.html, https://www.zoominfo.com/c/westra-wermlands-sparbank/430863537, https://www.facebook.com/wwsparbank/?locale=nl_BE, https://www.wwsparbank.se/om-oss.html, https://www.wwsparbank.se/kontakta-oss/vara-kontor.html, https://www.crunchbase.com/organization/westra-wermlands-sparbank, https://www.wwsparbank.se/kontakta-oss.html, https://www.relbanks.com/europe/sweden/westra-wermlands-sparbank, https://wwsparbank.square.site/, https://www.wwsparbank.se/privat/spara-och-placera/sparkonton/fastrantekonto.html, https://www.swedbank.se/privat/spara-och-placera/sparkonton/fastrantekonto.html, https://www.wwsparbank.se/privat/rantor-priser-och-kurser/rantor.html, https://www.sambla.se/blogg/ranteavdrag-privatlan/, https://www.vadstenasparbank.se/privat/spara-och-placera/sparkonton/fastrantekonto.html, https://www.swedbank.se/privat/rantor-priser-och-kurser/lanetjanster.html, https://www.sparbankenvm.se, https://www.xn--lnen-qoa.se/hur-mycket-far-jag-lana/, https://www.wwsparbank.se/privat/privatlan-och-krediter/lana-till-bil/billan.html, https://www.wwsparbank.se/privat/privatlan-och-krediter.html, https://www.wwsparbank.se/privat/privatlan-och-krediter/privatlandirekt-ansok/lana-30000.html, https://www.swedbank.se/privat/boende-och-bolan/rakna-pa-ditt-bolan.html, https://www.sparbankenskane.se/privat/privatlan-och-krediter/privatlandirekt-ansok.html</t>
  </si>
  <si>
    <t>Räntan är rörlig och individuell, satt inom spannet 5,70%–15,84% (senast ändrad 2025-07-07). Representativt exempel: 100 000 kr, 7,98% nominell ränta, 5 års löptid, effektiv ränta 8,42%, uppläggningsa</t>
  </si>
  <si>
    <t>Domain</t>
  </si>
  <si>
    <t>Times CITED
(shaped answers)</t>
  </si>
  <si>
    <t>thebanks.eu</t>
  </si>
  <si>
    <t>riksgalden.se</t>
  </si>
  <si>
    <t>kreditkoll.nu</t>
  </si>
  <si>
    <t>facebook.com</t>
  </si>
  <si>
    <t>crunchbase.com</t>
  </si>
  <si>
    <t>mystep.se</t>
  </si>
  <si>
    <t>trygga.com</t>
  </si>
  <si>
    <t>allabolag.se</t>
  </si>
  <si>
    <t>finansvalp.se</t>
  </si>
  <si>
    <t>zoominfo.com</t>
  </si>
  <si>
    <t>sambla.se</t>
  </si>
  <si>
    <t>bank24.se</t>
  </si>
  <si>
    <t>se.linkedin.com</t>
  </si>
  <si>
    <t>linkedin.com</t>
  </si>
  <si>
    <t>payup.se</t>
  </si>
  <si>
    <t>bloomberg.com</t>
  </si>
  <si>
    <t>sparbankenskane.se</t>
  </si>
  <si>
    <t>xn--lnen-qoa.se</t>
  </si>
  <si>
    <t>konsumentguiden.se</t>
  </si>
  <si>
    <t>advisa.se</t>
  </si>
  <si>
    <t>cbinsights.com</t>
  </si>
  <si>
    <t>ekonomifokus.se</t>
  </si>
  <si>
    <t>pickthebank.eu</t>
  </si>
  <si>
    <t>ordnabolan.se</t>
  </si>
  <si>
    <t>enklare.se</t>
  </si>
  <si>
    <t>lanekoll.se</t>
  </si>
  <si>
    <t>bankplatser.nu</t>
  </si>
  <si>
    <t>hittalanet.se</t>
  </si>
  <si>
    <t>nib.int</t>
  </si>
  <si>
    <t>news.cision.com</t>
  </si>
  <si>
    <t>fi.se</t>
  </si>
  <si>
    <t>creditsafe.com</t>
  </si>
  <si>
    <t>sv.wikipedia.org</t>
  </si>
  <si>
    <t>en.wikipedia.org</t>
  </si>
  <si>
    <t>finansklubben.se</t>
  </si>
  <si>
    <t>kapitalkoll.se</t>
  </si>
  <si>
    <t>kreditium.se</t>
  </si>
  <si>
    <t>xn--svenskaprivatln-ulb.se</t>
  </si>
  <si>
    <t>lsb.se</t>
  </si>
  <si>
    <t>sparbankennord.se</t>
  </si>
  <si>
    <t>zmarta.se</t>
  </si>
  <si>
    <t>eniro.se</t>
  </si>
  <si>
    <t>oppettider.net</t>
  </si>
  <si>
    <t>6sense.com</t>
  </si>
  <si>
    <t>financer.se</t>
  </si>
  <si>
    <t>sparbanken.se</t>
  </si>
  <si>
    <t>lansforsakringar.se</t>
  </si>
  <si>
    <t>xn--privatlnlistan-rib.se</t>
  </si>
  <si>
    <t>finansfreak.se</t>
  </si>
  <si>
    <t>tracxn.com</t>
  </si>
  <si>
    <t>sparbankenbergslagen.se</t>
  </si>
  <si>
    <t>ecbs.org</t>
  </si>
  <si>
    <t>sparbankensjuharad.se</t>
  </si>
  <si>
    <t>sparbankenvm.se</t>
  </si>
  <si>
    <t>nordiccreditrating.com</t>
  </si>
  <si>
    <t>sparbankensyd.se</t>
  </si>
  <si>
    <t>sparbankenspira.se</t>
  </si>
  <si>
    <t>lanupplysningen.se</t>
  </si>
  <si>
    <t>leadiq.com</t>
  </si>
  <si>
    <t>swedbank.se</t>
  </si>
  <si>
    <t>group.tfbank.se</t>
  </si>
  <si>
    <t>finance.yahoo.com</t>
  </si>
  <si>
    <t>tfbank.se</t>
  </si>
  <si>
    <t>xn--lnero-mra.se</t>
  </si>
  <si>
    <t>credento.se</t>
  </si>
  <si>
    <t>xn--lnea-qoa.se</t>
  </si>
  <si>
    <t>xn--lnesidor-9za.se</t>
  </si>
  <si>
    <t>play.google.com</t>
  </si>
  <si>
    <t>pitchbook.com</t>
  </si>
  <si>
    <t>view.news.eu.nasdaq.com</t>
  </si>
  <si>
    <t>dnb.com</t>
  </si>
  <si>
    <t>lexly.se</t>
  </si>
  <si>
    <t>hitta.se</t>
  </si>
  <si>
    <t>bolagsfakta.se</t>
  </si>
  <si>
    <t>sparbankeneken.se</t>
  </si>
  <si>
    <t>vadstenasparbank.se</t>
  </si>
  <si>
    <t>ikanobank.se</t>
  </si>
  <si>
    <t>fintechfutures.com</t>
  </si>
  <si>
    <t>bank.ikano</t>
  </si>
  <si>
    <t>icabanken.se</t>
  </si>
  <si>
    <t>cms.icabanken.se</t>
  </si>
  <si>
    <t>falkenbergssparbank.se</t>
  </si>
  <si>
    <t>ekonominu.se</t>
  </si>
  <si>
    <t>ir.morrowbank.com</t>
  </si>
  <si>
    <t>vinge.se</t>
  </si>
  <si>
    <t>kistefos.no</t>
  </si>
  <si>
    <t>simplywall.st</t>
  </si>
  <si>
    <t>jitta.com</t>
  </si>
  <si>
    <t>mfn.se</t>
  </si>
  <si>
    <t>morrowbank.se</t>
  </si>
  <si>
    <t>morrowbank.com</t>
  </si>
  <si>
    <t>documenthandler.resurs.com</t>
  </si>
  <si>
    <t>live.euronext.com</t>
  </si>
  <si>
    <t>krea.se</t>
  </si>
  <si>
    <t>resursbank.se</t>
  </si>
  <si>
    <t>resursholding.com</t>
  </si>
  <si>
    <t>sbab.se</t>
  </si>
  <si>
    <t>xn--bramklare-y2a.se</t>
  </si>
  <si>
    <t>xn--affrslivet-s5a.com</t>
  </si>
  <si>
    <t>sverigekredit.se</t>
  </si>
  <si>
    <t>northmill.com</t>
  </si>
  <si>
    <t>preqin.com</t>
  </si>
  <si>
    <t>xn--lnutanuc-9za.se</t>
  </si>
  <si>
    <t>lenders.se</t>
  </si>
  <si>
    <t>seb.se</t>
  </si>
  <si>
    <t>loanscouter.com</t>
  </si>
  <si>
    <t>eforum.org</t>
  </si>
  <si>
    <t>kreditjakt.se</t>
  </si>
  <si>
    <t>sparbankenmalardalen.se</t>
  </si>
  <si>
    <t>sparbanksstiftelsenvm.se</t>
  </si>
  <si>
    <t>sparbankenskaraborg.se</t>
  </si>
  <si>
    <t>cbonds.com</t>
  </si>
  <si>
    <t>largestcompanies.com</t>
  </si>
  <si>
    <t>riksbank.se</t>
  </si>
  <si>
    <t>swedbank.com</t>
  </si>
  <si>
    <t>sparbankenboken.se</t>
  </si>
  <si>
    <t>svea.com</t>
  </si>
  <si>
    <t>golvpoolen.se</t>
  </si>
  <si>
    <t>exthuset.com</t>
  </si>
  <si>
    <t>laatukaluste.com</t>
  </si>
  <si>
    <t>handelsbanken.fi</t>
  </si>
  <si>
    <t>handelsbanken.se</t>
  </si>
  <si>
    <t>normalaw.se</t>
  </si>
  <si>
    <t>xn--lnlgrnta-4zafc.se</t>
  </si>
  <si>
    <t>hypotek.swedbank.se</t>
  </si>
  <si>
    <t>research.swedbank.se</t>
  </si>
  <si>
    <t>sormlandssparbank.se</t>
  </si>
  <si>
    <t>sparbanksstiftelsensormland.se</t>
  </si>
  <si>
    <t>tfbankgroup.com</t>
  </si>
  <si>
    <t>spargrisarna.se</t>
  </si>
  <si>
    <t>bankfinder.se</t>
  </si>
  <si>
    <t>alltomspara.se</t>
  </si>
  <si>
    <t>rgk.se</t>
  </si>
  <si>
    <t>likvidum.se</t>
  </si>
  <si>
    <t>loanbuddy.se</t>
  </si>
  <si>
    <t>vimmerbysparbank.se</t>
  </si>
  <si>
    <t>crowdinform.com</t>
  </si>
  <si>
    <t>p2ug.com</t>
  </si>
  <si>
    <t>thecrowdspace.com</t>
  </si>
  <si>
    <t>prnewswire.com</t>
  </si>
  <si>
    <t>brocc.se</t>
  </si>
  <si>
    <t>smslansnabb.se</t>
  </si>
  <si>
    <t>media.umbraco.io</t>
  </si>
  <si>
    <t>rocketreach.co</t>
  </si>
  <si>
    <t>avidafinance.com</t>
  </si>
  <si>
    <t>support.avidafinance.com</t>
  </si>
  <si>
    <t>ensun.io</t>
  </si>
  <si>
    <t>practiceguides.chambers.com</t>
  </si>
  <si>
    <t>loanssweden.se</t>
  </si>
  <si>
    <t>lendo.group</t>
  </si>
  <si>
    <t>credigo.se</t>
  </si>
  <si>
    <t>nordic9.com</t>
  </si>
  <si>
    <t>eu-credits.com</t>
  </si>
  <si>
    <t>monitorcm.se</t>
  </si>
  <si>
    <t>trustpilot.com</t>
  </si>
  <si>
    <t>moank.se</t>
  </si>
  <si>
    <t>xn--dittln-mua.se</t>
  </si>
  <si>
    <t>kredit.nu</t>
  </si>
  <si>
    <t>lffinans.se</t>
  </si>
  <si>
    <t>secure246.lansforsakringar.se</t>
  </si>
  <si>
    <t>nordea.com</t>
  </si>
  <si>
    <t>nordeafinance.fi</t>
  </si>
  <si>
    <t>nordea.fi</t>
  </si>
  <si>
    <t>flow.nordeafinans.se</t>
  </si>
  <si>
    <t>nordeafinance.se</t>
  </si>
  <si>
    <t>nordea.se</t>
  </si>
  <si>
    <t>nordeafinans.se</t>
  </si>
  <si>
    <t>hogsbysparbank.se</t>
  </si>
  <si>
    <t>halsinglandssparbank.se</t>
  </si>
  <si>
    <t>bjursassparbank.se</t>
  </si>
  <si>
    <t>ivetoftasparbank.se</t>
  </si>
  <si>
    <t>issuu.com</t>
  </si>
  <si>
    <t>bromolla.se</t>
  </si>
  <si>
    <t>laholmssparbank.se</t>
  </si>
  <si>
    <t>lekebergssparbank.se</t>
  </si>
  <si>
    <t>ltvsparbank.se</t>
  </si>
  <si>
    <t>silverdalen.cylex.se</t>
  </si>
  <si>
    <t>xn--lnefrmedlarguiden-8qb04a.se</t>
  </si>
  <si>
    <t>markarydssparbank.se</t>
  </si>
  <si>
    <t>ampliz.com</t>
  </si>
  <si>
    <t>roslagenssparbank.se</t>
  </si>
  <si>
    <t>roslagen.se</t>
  </si>
  <si>
    <t>roslagensgk.com</t>
  </si>
  <si>
    <t>salasparbank.se</t>
  </si>
  <si>
    <t>bokasalasparbank.se</t>
  </si>
  <si>
    <t>mynewsdesk.com</t>
  </si>
  <si>
    <t>sidensjosparbank.se</t>
  </si>
  <si>
    <t>cesam.nu</t>
  </si>
  <si>
    <t>skurupssparbank.se</t>
  </si>
  <si>
    <t>nordnet.se</t>
  </si>
  <si>
    <t>sparbankengotland.se</t>
  </si>
  <si>
    <t>saastopankki.fi</t>
  </si>
  <si>
    <t>sparbankenikarlshamn.se</t>
  </si>
  <si>
    <t>sparbankentanum.se</t>
  </si>
  <si>
    <t>vastsverige.com</t>
  </si>
  <si>
    <t>spbtanum.se</t>
  </si>
  <si>
    <t>ulricehamnssparbank.se</t>
  </si>
  <si>
    <t>ulricehamnssparbank.teamtailor.com</t>
  </si>
  <si>
    <t>borskollen.se</t>
  </si>
  <si>
    <t>virserumssparbank.se</t>
  </si>
  <si>
    <t>virserum.se</t>
  </si>
  <si>
    <t>reco.se</t>
  </si>
  <si>
    <t>sparbank.se</t>
  </si>
  <si>
    <t>relbanks.com</t>
  </si>
  <si>
    <t>sparbank.square.site</t>
  </si>
  <si>
    <t>ise.com</t>
  </si>
  <si>
    <t>yelp.com</t>
  </si>
  <si>
    <t>aspireapp.com</t>
  </si>
  <si>
    <t>unilocal.net</t>
  </si>
  <si>
    <t>opensanctions.org</t>
  </si>
  <si>
    <t>northdata.com</t>
  </si>
  <si>
    <t>finanstilsynet.no</t>
  </si>
  <si>
    <t>qonto.com</t>
  </si>
  <si>
    <t>santanderconsumer.se</t>
  </si>
  <si>
    <t>kreditval.se</t>
  </si>
  <si>
    <t>kreditly.se</t>
  </si>
  <si>
    <t>facitbank.se</t>
  </si>
  <si>
    <t>testzone-v2.facitbank.se</t>
  </si>
  <si>
    <t>sdc.dk</t>
  </si>
  <si>
    <t>smartmoney.dk</t>
  </si>
  <si>
    <t>pengepartner.dk</t>
  </si>
  <si>
    <t>financer.dk</t>
  </si>
  <si>
    <t>laan.facitbank.dk</t>
  </si>
  <si>
    <t>tjek-laan.dk</t>
  </si>
  <si>
    <t>omprivatekonomi.se</t>
  </si>
  <si>
    <t>Claude Sonnet 4.6 + web_search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</si>
  <si>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</si>
  <si>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</si>
  <si>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</si>
  <si>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</si>
  <si>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</si>
  <si>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</si>
  <si>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</si>
  <si>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</si>
  <si>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</si>
  <si>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</si>
  <si>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</si>
  <si>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</si>
  <si>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claude-sonnet-4-6 (Anthropic Messages API)</t>
  </si>
  <si>
    <t>Endpoint</t>
  </si>
  <si>
    <t>https://api.anthropic.com/v1/messages</t>
  </si>
  <si>
    <t>Web search tool</t>
  </si>
  <si>
    <t>web_search_20250305 — Anthropic's built-in server-side web search. max_uses=5 per call.</t>
  </si>
  <si>
    <t>Date run</t>
  </si>
  <si>
    <t>April 2026</t>
  </si>
  <si>
    <t>Citation behavior</t>
  </si>
  <si>
    <t>Claude's web_search tool returns server_tool_result blocks containing web_search_results with url, title, and snippet for each source consulted.</t>
  </si>
  <si>
    <t>Reliability</t>
  </si>
  <si>
    <t>Concurrency=3, 51/51 successful with automatic retries for rate-limited requests.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</si>
  <si>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</si>
  <si>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</si>
  <si>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</si>
  <si>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</si>
  <si>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</si>
  <si>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</si>
  <si>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Claude Sonnet 4.6 + web_search — run_1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</si>
  <si>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</si>
  <si>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</si>
  <si>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</si>
  <si>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</si>
  <si>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</si>
  <si>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</si>
  <si>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6.75% - 18.56%</t>
  </si>
  <si>
    <t>nominal</t>
  </si>
  <si>
    <t>rörlig ränta</t>
  </si>
  <si>
    <t>notes</t>
  </si>
  <si>
    <t>6.00% - 17.17%</t>
  </si>
  <si>
    <t>effective</t>
  </si>
  <si>
    <t>effektiv ränta</t>
  </si>
  <si>
    <t>8.28% - 8.96% (effective/APR on example loan; nominal rate range 6.20% - 16.84%)</t>
  </si>
  <si>
    <t>APR</t>
  </si>
  <si>
    <t>apr_range</t>
  </si>
  <si>
    <t>6.75% - 13.45%</t>
  </si>
  <si>
    <t>7.37% - 40.99%</t>
  </si>
  <si>
    <t>unlabeled</t>
  </si>
  <si>
    <t>no_anchor_near_apr</t>
  </si>
  <si>
    <t>6.37% - 32.54%</t>
  </si>
  <si>
    <t>4.60% - 9.10%</t>
  </si>
  <si>
    <t>9.71% - 29.34% (kontokredit); 13.98% - 16.70% representative example (samlingslån)</t>
  </si>
  <si>
    <t>representative_example</t>
  </si>
  <si>
    <t>representative example</t>
  </si>
  <si>
    <t>5.95% - 16.09%</t>
  </si>
  <si>
    <t>6.20% - 13.65% (nominal/rörlig årsränta); effektiv ränta ca 6.38% - 16.29% beroende på lånebelopp, löptid och individuell kreditbedömning</t>
  </si>
  <si>
    <t>7.26% (representative example at 6.90% nominal; nominal rate range 6.90% – 15.90%)</t>
  </si>
  <si>
    <t>8.15% - ~16.09%+ (effective APR; nominal rate span 5.95% – 16.09% as of 2025-10-03; example: 100,000 SEK over 5 years = 8.15% APR standard, 8.01% for Nyckelkund)</t>
  </si>
  <si>
    <t>5.95% - 16.09% (nominell rörlig ränta); effektiv ränta ca 8.15% vid exempelbelopp 100 000 kr, 5 år (senaste ränteändring 2025-10-03)</t>
  </si>
  <si>
    <t>~8.01% (effective); nominal rate range 5.95% - 17.15%</t>
  </si>
  <si>
    <t>nominal rate</t>
  </si>
  <si>
    <t>8.01% - 16.09% (effective/APR); nominal rate range 5.95% - 16.09%</t>
  </si>
  <si>
    <t>8.40% - 25.95% (nominal); effective rate example: 9.68% on a 200,000 SEK / 7-year loan at 8.95%</t>
  </si>
  <si>
    <t>7.80% - 16.08% (effektiv ränta; nominell ränta f.n. 7.45%)</t>
  </si>
  <si>
    <t>8.15% - ~17.43% (effective/effektiv ränta; nominal rate range 5.95% - 16.09% as of 2025-10-03)</t>
  </si>
  <si>
    <t>5.95% - 16.09% (nominal); effective APR example: 8.15% (standard) / 8.01% (Nyckelkund) for a 100,000 SEK loan over 5 years</t>
  </si>
  <si>
    <t>7.51% - 28.58%</t>
  </si>
  <si>
    <t>14.82% - 29.27%</t>
  </si>
  <si>
    <t>unknown</t>
  </si>
  <si>
    <t>no_apr_in_response</t>
  </si>
  <si>
    <t>8.01% - (individuellt satt; nominell ränta 5.95% - 16.09%)</t>
  </si>
  <si>
    <t>nominell ränta</t>
  </si>
  <si>
    <t>up to 29.99% (nominal rate 7.50% - 23.00%)</t>
  </si>
  <si>
    <t>11.15% - 29.50%</t>
  </si>
  <si>
    <t>4.90% - 14.95% (nominal/variable, individually set; effective APR approx. 8.20% - 27.22% depending on amount, term, and fees)</t>
  </si>
  <si>
    <t>8.25% (representative example at 6.95% nominal; individual range approx. 6.75% - 14.75% nominal)</t>
  </si>
  <si>
    <t>6.65% - 7.18%</t>
  </si>
  <si>
    <t>8.01% - 16.34% (effective annual rate; nominal rate range 6.20%–16.34%)</t>
  </si>
  <si>
    <t>8.42% (example at 7.98% nominal); nominal rate span 6.20% – 16.34%</t>
  </si>
  <si>
    <t>Räkneexempel</t>
  </si>
  <si>
    <t>8.15% - (up to ~16.09% nominal rate ceiling); nominal rate span 5.95% – 16.09% (last updated 2025-10-03); example effective APR 8.15% (8.01% for Nyckelkund on 100 000 SEK / 5-year term)</t>
  </si>
  <si>
    <t>8.01% - 16.09% (effective/effektiv ränta; nominal rate range 5.95% - 16.09%)</t>
  </si>
  <si>
    <t>8.56% (representative example at 7.98% nominal rate; nominal rate range 6.40% – 15.10%)</t>
  </si>
  <si>
    <t>8.96% - 16.84% (individuellt bestämd; nominell ränta 6.70%–16.84%; effektiv ränta 8.62% för Medlemslån vid 5 år, 8.96% för Privatlån vid 5 år)</t>
  </si>
  <si>
    <t>7.76% - 16.34% (effective APR; nominal rate span 6.84%–16.34%; Nyckelkund (loyalty customer) lower end ~7.76% effective)</t>
  </si>
  <si>
    <t>8.42% - 17.15% (effective annual rate; nominal rate range 6.20%–16.34% as of 2025-02-07)</t>
  </si>
  <si>
    <t>8.28% - 16.34% (effective annual rate; nominal rate range 6.20% – 16.34%; last updated 2025-02-07)</t>
  </si>
  <si>
    <t>9.63% - ~17.34% (effective APR; nominal rate range 6.95%–17.09% as of 2024-09-05; standard APR example: 9.78%, Nyckelkund APR: 9.63%)</t>
  </si>
  <si>
    <t>8.42% - 8.64% (representative examples; underlying nominal rate range 5.45% - 10.30%)</t>
  </si>
  <si>
    <t>Effective APR example: 8.42% (8.28% for 'Nyckelkund'); nominal rate range 6.40% – 16.95% (last updated 2025-02-24), set individually per borrower</t>
  </si>
  <si>
    <t>5.67% - 10.91%</t>
  </si>
  <si>
    <t>effective rate ~8.56% (based on example at 7.98% nominal rate; nominal rate span 6.20% – 16.34%)</t>
  </si>
  <si>
    <t>8.28% - ~16.34% (effective annual rate; interest rate span 6.20%–16.34%; example APR 8.42% standard / 8.28% for Nyckelkund, based on 100 000 SEK over 5 years, as of 2025-02-07)</t>
  </si>
  <si>
    <t>8.28% (representative example at 7.73% nominal rate; rate span 6.18% – 14.70%)</t>
  </si>
  <si>
    <t>5.45% - 15.59% (nominell ränta); effektiv ränta ca 8.15% vid exempelränta 7.73% på 100 000 kr över 5 år (senast uppdaterad 2025-10-10)</t>
  </si>
  <si>
    <t>6.63% - 16.02%</t>
  </si>
  <si>
    <t>9.82% - 18.91% (effektiv ränta; nominell ränta 7.90% - 15.90%)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</si>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</sst>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color theme="1"/>
      <name val="Calibri"/>
      <scheme val="minor"/>
    </font>
    <font>
      <b/>
      <sz val="13.0"/>
      <color rgb="FFFFFFFF"/>
      <name val="Arial"/>
    </font>
    <font/>
    <font>
      <b/>
      <sz val="13.0"/>
      <color theme="1"/>
      <name val="Cambria"/>
    </font>
    <font>
      <sz val="11.0"/>
      <color theme="1"/>
      <name val="Calibri"/>
    </font>
    <font>
      <b/>
      <sz val="11.0"/>
      <color rgb="FFFFFFFF"/>
      <name val="Cambria"/>
    </font>
    <font>
      <b/>
      <sz val="11.0"/>
      <color theme="1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0"/>
    </xf>
    <xf borderId="1" fillId="3" fontId="2" numFmtId="0" xfId="0" applyAlignment="1" applyBorder="1" applyFill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0"/>
    </xf>
    <xf borderId="1" fillId="4" fontId="3" numFmtId="0" xfId="0" applyAlignment="1" applyBorder="1" applyFill="1" applyFont="1">
      <alignment shrinkToFit="0" vertical="top" wrapText="0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0"/>
    </xf>
    <xf borderId="1" fillId="7" fontId="2" numFmtId="0" xfId="0" applyAlignment="1" applyBorder="1" applyFont="1">
      <alignment shrinkToFit="0" vertical="top" wrapText="1"/>
    </xf>
    <xf borderId="1" fillId="7" fontId="3" numFmtId="0" xfId="0" applyAlignment="1" applyBorder="1" applyFont="1">
      <alignment shrinkToFit="0" vertical="top" wrapText="0"/>
    </xf>
    <xf borderId="1" fillId="7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4" numFmtId="0" xfId="0" applyFont="1"/>
    <xf borderId="2" fillId="2" fontId="5" numFmtId="0" xfId="0" applyAlignment="1" applyBorder="1" applyFont="1">
      <alignment horizontal="center"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2" fillId="9" fontId="8" numFmtId="0" xfId="0" applyAlignment="1" applyBorder="1" applyFill="1" applyFont="1">
      <alignment shrinkToFit="0" vertical="top" wrapText="1"/>
    </xf>
    <xf borderId="5" fillId="10" fontId="9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shrinkToFit="0" vertical="top" wrapText="1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4" t="s">
        <v>21</v>
      </c>
      <c r="G2" s="4" t="s">
        <v>22</v>
      </c>
      <c r="H2" s="2" t="s">
        <v>23</v>
      </c>
      <c r="I2" s="4" t="s">
        <v>24</v>
      </c>
      <c r="J2" s="6">
        <v>3.0</v>
      </c>
      <c r="K2" s="7" t="s">
        <v>25</v>
      </c>
      <c r="L2" s="8" t="s">
        <v>26</v>
      </c>
      <c r="M2" s="8"/>
      <c r="N2" s="8" t="s">
        <v>27</v>
      </c>
      <c r="O2" s="4" t="s">
        <v>28</v>
      </c>
      <c r="P2" s="2" t="s">
        <v>29</v>
      </c>
    </row>
    <row r="3">
      <c r="A3" s="9" t="s">
        <v>30</v>
      </c>
      <c r="B3" s="3" t="s">
        <v>17</v>
      </c>
      <c r="C3" s="10" t="s">
        <v>31</v>
      </c>
      <c r="D3" s="11" t="s">
        <v>32</v>
      </c>
      <c r="E3" s="11" t="s">
        <v>33</v>
      </c>
      <c r="F3" s="10" t="s">
        <v>34</v>
      </c>
      <c r="G3" s="10" t="s">
        <v>35</v>
      </c>
      <c r="H3" s="9" t="s">
        <v>36</v>
      </c>
      <c r="I3" s="12" t="s">
        <v>37</v>
      </c>
      <c r="J3" s="6">
        <v>3.0</v>
      </c>
      <c r="K3" s="7" t="s">
        <v>25</v>
      </c>
      <c r="L3" s="8" t="s">
        <v>38</v>
      </c>
      <c r="M3" s="8"/>
      <c r="N3" s="8" t="s">
        <v>27</v>
      </c>
      <c r="O3" s="10" t="s">
        <v>39</v>
      </c>
      <c r="P3" s="9" t="s">
        <v>29</v>
      </c>
    </row>
    <row r="4">
      <c r="A4" s="9" t="s">
        <v>40</v>
      </c>
      <c r="B4" s="3" t="s">
        <v>17</v>
      </c>
      <c r="C4" s="10" t="s">
        <v>41</v>
      </c>
      <c r="D4" s="11" t="s">
        <v>42</v>
      </c>
      <c r="E4" s="11" t="s">
        <v>43</v>
      </c>
      <c r="F4" s="10" t="s">
        <v>44</v>
      </c>
      <c r="G4" s="10" t="s">
        <v>45</v>
      </c>
      <c r="H4" s="9" t="s">
        <v>46</v>
      </c>
      <c r="I4" s="12" t="s">
        <v>47</v>
      </c>
      <c r="J4" s="6">
        <v>2.0</v>
      </c>
      <c r="K4" s="7" t="s">
        <v>25</v>
      </c>
      <c r="L4" s="8"/>
      <c r="M4" s="8"/>
      <c r="N4" s="8" t="s">
        <v>27</v>
      </c>
      <c r="O4" s="10" t="s">
        <v>48</v>
      </c>
      <c r="P4" s="9" t="s">
        <v>29</v>
      </c>
    </row>
    <row r="5">
      <c r="A5" s="9" t="s">
        <v>49</v>
      </c>
      <c r="B5" s="3" t="s">
        <v>17</v>
      </c>
      <c r="C5" s="10" t="s">
        <v>50</v>
      </c>
      <c r="D5" s="11" t="s">
        <v>51</v>
      </c>
      <c r="E5" s="11" t="s">
        <v>52</v>
      </c>
      <c r="F5" s="10" t="s">
        <v>53</v>
      </c>
      <c r="G5" s="10" t="s">
        <v>22</v>
      </c>
      <c r="H5" s="9" t="s">
        <v>54</v>
      </c>
      <c r="I5" s="12" t="s">
        <v>55</v>
      </c>
      <c r="J5" s="6">
        <v>2.0</v>
      </c>
      <c r="K5" s="7" t="s">
        <v>25</v>
      </c>
      <c r="L5" s="8" t="s">
        <v>56</v>
      </c>
      <c r="M5" s="8"/>
      <c r="N5" s="8" t="s">
        <v>27</v>
      </c>
      <c r="O5" s="10" t="s">
        <v>57</v>
      </c>
      <c r="P5" s="9" t="s">
        <v>29</v>
      </c>
    </row>
    <row r="6">
      <c r="A6" s="2" t="s">
        <v>58</v>
      </c>
      <c r="B6" s="3" t="s">
        <v>17</v>
      </c>
      <c r="C6" s="4" t="s">
        <v>59</v>
      </c>
      <c r="D6" s="5" t="s">
        <v>60</v>
      </c>
      <c r="E6" s="5" t="s">
        <v>61</v>
      </c>
      <c r="F6" s="4" t="s">
        <v>62</v>
      </c>
      <c r="G6" s="4" t="s">
        <v>63</v>
      </c>
      <c r="H6" s="2" t="s">
        <v>64</v>
      </c>
      <c r="I6" s="13" t="s">
        <v>65</v>
      </c>
      <c r="J6" s="6">
        <v>2.0</v>
      </c>
      <c r="K6" s="7" t="s">
        <v>25</v>
      </c>
      <c r="L6" s="8" t="s">
        <v>66</v>
      </c>
      <c r="M6" s="8"/>
      <c r="N6" s="8" t="s">
        <v>27</v>
      </c>
      <c r="O6" s="4" t="s">
        <v>67</v>
      </c>
      <c r="P6" s="2" t="s">
        <v>29</v>
      </c>
    </row>
    <row r="7">
      <c r="A7" s="2" t="s">
        <v>68</v>
      </c>
      <c r="B7" s="3" t="s">
        <v>17</v>
      </c>
      <c r="C7" s="4" t="s">
        <v>69</v>
      </c>
      <c r="D7" s="5" t="s">
        <v>70</v>
      </c>
      <c r="E7" s="5" t="s">
        <v>71</v>
      </c>
      <c r="F7" s="4" t="s">
        <v>72</v>
      </c>
      <c r="G7" s="4" t="s">
        <v>22</v>
      </c>
      <c r="H7" s="2" t="s">
        <v>36</v>
      </c>
      <c r="I7" s="13" t="s">
        <v>73</v>
      </c>
      <c r="J7" s="6">
        <v>3.0</v>
      </c>
      <c r="K7" s="7" t="s">
        <v>25</v>
      </c>
      <c r="L7" s="8" t="s">
        <v>74</v>
      </c>
      <c r="M7" s="8"/>
      <c r="N7" s="8" t="s">
        <v>27</v>
      </c>
      <c r="O7" s="4" t="s">
        <v>75</v>
      </c>
      <c r="P7" s="2" t="s">
        <v>29</v>
      </c>
    </row>
    <row r="8">
      <c r="A8" s="9" t="s">
        <v>76</v>
      </c>
      <c r="B8" s="3" t="s">
        <v>17</v>
      </c>
      <c r="C8" s="10" t="s">
        <v>77</v>
      </c>
      <c r="D8" s="11" t="s">
        <v>78</v>
      </c>
      <c r="E8" s="11" t="s">
        <v>79</v>
      </c>
      <c r="F8" s="10" t="s">
        <v>34</v>
      </c>
      <c r="G8" s="10" t="s">
        <v>35</v>
      </c>
      <c r="H8" s="9" t="s">
        <v>36</v>
      </c>
      <c r="I8" s="12" t="s">
        <v>65</v>
      </c>
      <c r="J8" s="6">
        <v>4.0</v>
      </c>
      <c r="K8" s="7" t="s">
        <v>25</v>
      </c>
      <c r="L8" s="8" t="s">
        <v>80</v>
      </c>
      <c r="M8" s="8"/>
      <c r="N8" s="8" t="s">
        <v>27</v>
      </c>
      <c r="O8" s="10" t="s">
        <v>81</v>
      </c>
      <c r="P8" s="9" t="s">
        <v>29</v>
      </c>
    </row>
    <row r="9">
      <c r="A9" s="9" t="s">
        <v>82</v>
      </c>
      <c r="B9" s="3" t="s">
        <v>17</v>
      </c>
      <c r="C9" s="10" t="s">
        <v>83</v>
      </c>
      <c r="D9" s="11" t="s">
        <v>84</v>
      </c>
      <c r="E9" s="11" t="s">
        <v>79</v>
      </c>
      <c r="F9" s="10" t="s">
        <v>85</v>
      </c>
      <c r="G9" s="10" t="s">
        <v>86</v>
      </c>
      <c r="H9" s="9" t="s">
        <v>36</v>
      </c>
      <c r="I9" s="12" t="s">
        <v>37</v>
      </c>
      <c r="J9" s="6">
        <v>3.0</v>
      </c>
      <c r="K9" s="7" t="s">
        <v>25</v>
      </c>
      <c r="L9" s="8" t="s">
        <v>87</v>
      </c>
      <c r="M9" s="8"/>
      <c r="N9" s="8" t="s">
        <v>27</v>
      </c>
      <c r="O9" s="10" t="s">
        <v>88</v>
      </c>
      <c r="P9" s="9" t="s">
        <v>29</v>
      </c>
    </row>
    <row r="10">
      <c r="A10" s="2" t="s">
        <v>89</v>
      </c>
      <c r="B10" s="3" t="s">
        <v>17</v>
      </c>
      <c r="C10" s="4" t="s">
        <v>90</v>
      </c>
      <c r="D10" s="5" t="s">
        <v>91</v>
      </c>
      <c r="E10" s="5" t="s">
        <v>92</v>
      </c>
      <c r="F10" s="4" t="s">
        <v>93</v>
      </c>
      <c r="G10" s="4" t="s">
        <v>35</v>
      </c>
      <c r="H10" s="2" t="s">
        <v>36</v>
      </c>
      <c r="I10" s="13" t="s">
        <v>55</v>
      </c>
      <c r="J10" s="6">
        <v>2.0</v>
      </c>
      <c r="K10" s="7" t="s">
        <v>25</v>
      </c>
      <c r="L10" s="8" t="s">
        <v>94</v>
      </c>
      <c r="M10" s="8"/>
      <c r="N10" s="8" t="s">
        <v>27</v>
      </c>
      <c r="O10" s="4" t="s">
        <v>95</v>
      </c>
      <c r="P10" s="2" t="s">
        <v>29</v>
      </c>
    </row>
    <row r="11">
      <c r="A11" s="2" t="s">
        <v>96</v>
      </c>
      <c r="B11" s="3" t="s">
        <v>17</v>
      </c>
      <c r="C11" s="4" t="s">
        <v>97</v>
      </c>
      <c r="D11" s="5" t="s">
        <v>98</v>
      </c>
      <c r="E11" s="5" t="s">
        <v>99</v>
      </c>
      <c r="F11" s="4" t="s">
        <v>21</v>
      </c>
      <c r="G11" s="4" t="s">
        <v>22</v>
      </c>
      <c r="H11" s="2" t="s">
        <v>36</v>
      </c>
      <c r="I11" s="13" t="s">
        <v>100</v>
      </c>
      <c r="J11" s="6">
        <v>2.0</v>
      </c>
      <c r="K11" s="7" t="s">
        <v>25</v>
      </c>
      <c r="L11" s="8" t="s">
        <v>101</v>
      </c>
      <c r="M11" s="8"/>
      <c r="N11" s="8" t="s">
        <v>27</v>
      </c>
      <c r="O11" s="4" t="s">
        <v>102</v>
      </c>
      <c r="P11" s="2" t="s">
        <v>29</v>
      </c>
    </row>
    <row r="12">
      <c r="A12" s="2" t="s">
        <v>103</v>
      </c>
      <c r="B12" s="3" t="s">
        <v>17</v>
      </c>
      <c r="C12" s="4" t="s">
        <v>104</v>
      </c>
      <c r="D12" s="5" t="s">
        <v>105</v>
      </c>
      <c r="E12" s="5" t="s">
        <v>106</v>
      </c>
      <c r="F12" s="4" t="s">
        <v>107</v>
      </c>
      <c r="G12" s="4" t="s">
        <v>35</v>
      </c>
      <c r="H12" s="2" t="s">
        <v>36</v>
      </c>
      <c r="I12" s="4" t="s">
        <v>108</v>
      </c>
      <c r="J12" s="6">
        <v>3.0</v>
      </c>
      <c r="K12" s="7" t="s">
        <v>25</v>
      </c>
      <c r="L12" s="8" t="s">
        <v>109</v>
      </c>
      <c r="M12" s="8"/>
      <c r="N12" s="8" t="s">
        <v>27</v>
      </c>
      <c r="O12" s="4" t="s">
        <v>110</v>
      </c>
      <c r="P12" s="2" t="s">
        <v>29</v>
      </c>
    </row>
    <row r="13">
      <c r="A13" s="2" t="s">
        <v>111</v>
      </c>
      <c r="B13" s="3" t="s">
        <v>17</v>
      </c>
      <c r="C13" s="4" t="s">
        <v>112</v>
      </c>
      <c r="D13" s="5" t="s">
        <v>84</v>
      </c>
      <c r="E13" s="5" t="s">
        <v>105</v>
      </c>
      <c r="F13" s="4" t="s">
        <v>113</v>
      </c>
      <c r="G13" s="4" t="s">
        <v>114</v>
      </c>
      <c r="H13" s="2" t="s">
        <v>36</v>
      </c>
      <c r="I13" s="4"/>
      <c r="J13" s="6">
        <v>3.0</v>
      </c>
      <c r="K13" s="7" t="s">
        <v>25</v>
      </c>
      <c r="L13" s="8" t="s">
        <v>115</v>
      </c>
      <c r="M13" s="8"/>
      <c r="N13" s="8" t="s">
        <v>27</v>
      </c>
      <c r="O13" s="4" t="s">
        <v>116</v>
      </c>
      <c r="P13" s="2" t="s">
        <v>29</v>
      </c>
    </row>
    <row r="14">
      <c r="A14" s="9" t="s">
        <v>117</v>
      </c>
      <c r="B14" s="3" t="s">
        <v>17</v>
      </c>
      <c r="C14" s="10" t="s">
        <v>118</v>
      </c>
      <c r="D14" s="11" t="s">
        <v>98</v>
      </c>
      <c r="E14" s="11" t="s">
        <v>119</v>
      </c>
      <c r="F14" s="10" t="s">
        <v>53</v>
      </c>
      <c r="G14" s="10" t="s">
        <v>22</v>
      </c>
      <c r="H14" s="9" t="s">
        <v>36</v>
      </c>
      <c r="I14" s="10" t="s">
        <v>120</v>
      </c>
      <c r="J14" s="6">
        <v>3.0</v>
      </c>
      <c r="K14" s="7" t="s">
        <v>25</v>
      </c>
      <c r="L14" s="8" t="s">
        <v>121</v>
      </c>
      <c r="M14" s="8"/>
      <c r="N14" s="8" t="s">
        <v>27</v>
      </c>
      <c r="O14" s="10" t="s">
        <v>122</v>
      </c>
      <c r="P14" s="9" t="s">
        <v>29</v>
      </c>
    </row>
    <row r="15">
      <c r="A15" s="9" t="s">
        <v>123</v>
      </c>
      <c r="B15" s="3" t="s">
        <v>17</v>
      </c>
      <c r="C15" s="10" t="s">
        <v>124</v>
      </c>
      <c r="D15" s="11" t="s">
        <v>125</v>
      </c>
      <c r="E15" s="11" t="s">
        <v>126</v>
      </c>
      <c r="F15" s="10" t="s">
        <v>53</v>
      </c>
      <c r="G15" s="10" t="s">
        <v>127</v>
      </c>
      <c r="H15" s="9" t="s">
        <v>23</v>
      </c>
      <c r="I15" s="12" t="s">
        <v>100</v>
      </c>
      <c r="J15" s="6">
        <v>3.0</v>
      </c>
      <c r="K15" s="7" t="s">
        <v>25</v>
      </c>
      <c r="L15" s="8" t="s">
        <v>128</v>
      </c>
      <c r="M15" s="8"/>
      <c r="N15" s="8" t="s">
        <v>27</v>
      </c>
      <c r="O15" s="10" t="s">
        <v>129</v>
      </c>
      <c r="P15" s="9" t="s">
        <v>29</v>
      </c>
    </row>
    <row r="16">
      <c r="A16" s="9" t="s">
        <v>130</v>
      </c>
      <c r="B16" s="3" t="s">
        <v>17</v>
      </c>
      <c r="C16" s="10" t="s">
        <v>131</v>
      </c>
      <c r="D16" s="11" t="s">
        <v>132</v>
      </c>
      <c r="E16" s="11" t="s">
        <v>133</v>
      </c>
      <c r="F16" s="10" t="s">
        <v>34</v>
      </c>
      <c r="G16" s="10" t="s">
        <v>35</v>
      </c>
      <c r="H16" s="9" t="s">
        <v>36</v>
      </c>
      <c r="I16" s="12" t="s">
        <v>37</v>
      </c>
      <c r="J16" s="6">
        <v>3.0</v>
      </c>
      <c r="K16" s="7" t="s">
        <v>25</v>
      </c>
      <c r="L16" s="8" t="s">
        <v>134</v>
      </c>
      <c r="M16" s="8"/>
      <c r="N16" s="8" t="s">
        <v>27</v>
      </c>
      <c r="O16" s="10" t="s">
        <v>135</v>
      </c>
      <c r="P16" s="9" t="s">
        <v>29</v>
      </c>
    </row>
    <row r="17">
      <c r="A17" s="2" t="s">
        <v>136</v>
      </c>
      <c r="B17" s="3" t="s">
        <v>17</v>
      </c>
      <c r="C17" s="4" t="s">
        <v>137</v>
      </c>
      <c r="D17" s="5" t="s">
        <v>138</v>
      </c>
      <c r="E17" s="5" t="s">
        <v>51</v>
      </c>
      <c r="F17" s="4" t="s">
        <v>21</v>
      </c>
      <c r="G17" s="4" t="s">
        <v>35</v>
      </c>
      <c r="H17" s="2" t="s">
        <v>139</v>
      </c>
      <c r="I17" s="4" t="s">
        <v>140</v>
      </c>
      <c r="J17" s="6">
        <v>3.0</v>
      </c>
      <c r="K17" s="7" t="s">
        <v>25</v>
      </c>
      <c r="L17" s="8" t="s">
        <v>141</v>
      </c>
      <c r="M17" s="8"/>
      <c r="N17" s="8" t="s">
        <v>27</v>
      </c>
      <c r="O17" s="4" t="s">
        <v>142</v>
      </c>
      <c r="P17" s="2" t="s">
        <v>29</v>
      </c>
    </row>
    <row r="18">
      <c r="A18" s="9" t="s">
        <v>143</v>
      </c>
      <c r="B18" s="3" t="s">
        <v>17</v>
      </c>
      <c r="C18" s="10" t="s">
        <v>144</v>
      </c>
      <c r="D18" s="11" t="s">
        <v>138</v>
      </c>
      <c r="E18" s="11" t="s">
        <v>145</v>
      </c>
      <c r="F18" s="10" t="s">
        <v>34</v>
      </c>
      <c r="G18" s="10" t="s">
        <v>35</v>
      </c>
      <c r="H18" s="9" t="s">
        <v>36</v>
      </c>
      <c r="I18" s="12" t="s">
        <v>37</v>
      </c>
      <c r="J18" s="6">
        <v>3.0</v>
      </c>
      <c r="K18" s="7" t="s">
        <v>25</v>
      </c>
      <c r="L18" s="8" t="s">
        <v>146</v>
      </c>
      <c r="M18" s="8"/>
      <c r="N18" s="8" t="s">
        <v>27</v>
      </c>
      <c r="O18" s="10" t="s">
        <v>147</v>
      </c>
      <c r="P18" s="9" t="s">
        <v>29</v>
      </c>
    </row>
    <row r="19">
      <c r="A19" s="2" t="s">
        <v>148</v>
      </c>
      <c r="B19" s="3" t="s">
        <v>17</v>
      </c>
      <c r="C19" s="4" t="s">
        <v>149</v>
      </c>
      <c r="D19" s="5" t="s">
        <v>150</v>
      </c>
      <c r="E19" s="5" t="s">
        <v>151</v>
      </c>
      <c r="F19" s="4" t="s">
        <v>72</v>
      </c>
      <c r="G19" s="4" t="s">
        <v>152</v>
      </c>
      <c r="H19" s="2" t="s">
        <v>23</v>
      </c>
      <c r="I19" s="13" t="s">
        <v>55</v>
      </c>
      <c r="J19" s="6">
        <v>3.0</v>
      </c>
      <c r="K19" s="7" t="s">
        <v>25</v>
      </c>
      <c r="L19" s="8" t="s">
        <v>153</v>
      </c>
      <c r="M19" s="8"/>
      <c r="N19" s="8" t="s">
        <v>27</v>
      </c>
      <c r="O19" s="4" t="s">
        <v>154</v>
      </c>
      <c r="P19" s="2" t="s">
        <v>29</v>
      </c>
    </row>
    <row r="20">
      <c r="A20" s="2" t="s">
        <v>155</v>
      </c>
      <c r="B20" s="3" t="s">
        <v>17</v>
      </c>
      <c r="C20" s="4" t="s">
        <v>156</v>
      </c>
      <c r="D20" s="5" t="s">
        <v>157</v>
      </c>
      <c r="E20" s="5" t="s">
        <v>158</v>
      </c>
      <c r="F20" s="4" t="s">
        <v>34</v>
      </c>
      <c r="G20" s="4" t="s">
        <v>22</v>
      </c>
      <c r="H20" s="2" t="s">
        <v>23</v>
      </c>
      <c r="I20" s="13" t="s">
        <v>55</v>
      </c>
      <c r="J20" s="6">
        <v>3.0</v>
      </c>
      <c r="K20" s="7" t="s">
        <v>25</v>
      </c>
      <c r="L20" s="8" t="s">
        <v>159</v>
      </c>
      <c r="M20" s="8"/>
      <c r="N20" s="8" t="s">
        <v>27</v>
      </c>
      <c r="O20" s="4" t="s">
        <v>160</v>
      </c>
      <c r="P20" s="2" t="s">
        <v>29</v>
      </c>
    </row>
    <row r="21" ht="15.75" customHeight="1">
      <c r="A21" s="2" t="s">
        <v>161</v>
      </c>
      <c r="B21" s="3" t="s">
        <v>17</v>
      </c>
      <c r="C21" s="4" t="s">
        <v>162</v>
      </c>
      <c r="D21" s="5" t="s">
        <v>163</v>
      </c>
      <c r="E21" s="5" t="s">
        <v>164</v>
      </c>
      <c r="F21" s="4" t="s">
        <v>34</v>
      </c>
      <c r="G21" s="4" t="s">
        <v>22</v>
      </c>
      <c r="H21" s="2" t="s">
        <v>36</v>
      </c>
      <c r="I21" s="4" t="s">
        <v>108</v>
      </c>
      <c r="J21" s="6">
        <v>0.0</v>
      </c>
      <c r="K21" s="7" t="s">
        <v>25</v>
      </c>
      <c r="L21" s="8"/>
      <c r="M21" s="8"/>
      <c r="N21" s="8" t="s">
        <v>27</v>
      </c>
      <c r="O21" s="4" t="s">
        <v>165</v>
      </c>
      <c r="P21" s="2" t="s">
        <v>29</v>
      </c>
    </row>
    <row r="22" ht="15.75" customHeight="1">
      <c r="A22" s="2" t="s">
        <v>166</v>
      </c>
      <c r="B22" s="3" t="s">
        <v>17</v>
      </c>
      <c r="C22" s="4" t="s">
        <v>167</v>
      </c>
      <c r="D22" s="5" t="s">
        <v>168</v>
      </c>
      <c r="E22" s="5" t="s">
        <v>169</v>
      </c>
      <c r="F22" s="4" t="s">
        <v>170</v>
      </c>
      <c r="G22" s="4" t="s">
        <v>171</v>
      </c>
      <c r="H22" s="2" t="s">
        <v>36</v>
      </c>
      <c r="I22" s="13">
        <v>15.0</v>
      </c>
      <c r="J22" s="6">
        <v>3.0</v>
      </c>
      <c r="K22" s="7" t="s">
        <v>25</v>
      </c>
      <c r="L22" s="8" t="s">
        <v>172</v>
      </c>
      <c r="M22" s="8"/>
      <c r="N22" s="8" t="s">
        <v>27</v>
      </c>
      <c r="O22" s="4" t="s">
        <v>173</v>
      </c>
      <c r="P22" s="2" t="s">
        <v>29</v>
      </c>
    </row>
    <row r="23" ht="15.75" customHeight="1">
      <c r="A23" s="9" t="s">
        <v>174</v>
      </c>
      <c r="B23" s="3" t="s">
        <v>17</v>
      </c>
      <c r="C23" s="10" t="s">
        <v>175</v>
      </c>
      <c r="D23" s="11" t="s">
        <v>176</v>
      </c>
      <c r="E23" s="11" t="s">
        <v>177</v>
      </c>
      <c r="F23" s="10" t="s">
        <v>178</v>
      </c>
      <c r="G23" s="10" t="s">
        <v>63</v>
      </c>
      <c r="H23" s="9" t="s">
        <v>23</v>
      </c>
      <c r="I23" s="12" t="s">
        <v>179</v>
      </c>
      <c r="J23" s="6">
        <v>3.0</v>
      </c>
      <c r="K23" s="7" t="s">
        <v>25</v>
      </c>
      <c r="L23" s="8" t="s">
        <v>180</v>
      </c>
      <c r="M23" s="8"/>
      <c r="N23" s="8" t="s">
        <v>27</v>
      </c>
      <c r="O23" s="10" t="s">
        <v>181</v>
      </c>
      <c r="P23" s="9" t="s">
        <v>29</v>
      </c>
    </row>
    <row r="24" ht="15.75" customHeight="1">
      <c r="A24" s="9" t="s">
        <v>182</v>
      </c>
      <c r="B24" s="3" t="s">
        <v>17</v>
      </c>
      <c r="C24" s="10" t="s">
        <v>183</v>
      </c>
      <c r="D24" s="11" t="s">
        <v>184</v>
      </c>
      <c r="E24" s="11" t="s">
        <v>185</v>
      </c>
      <c r="F24" s="10" t="s">
        <v>53</v>
      </c>
      <c r="G24" s="10" t="s">
        <v>22</v>
      </c>
      <c r="H24" s="9" t="s">
        <v>23</v>
      </c>
      <c r="I24" s="12" t="s">
        <v>100</v>
      </c>
      <c r="J24" s="6">
        <v>2.0</v>
      </c>
      <c r="K24" s="7" t="s">
        <v>25</v>
      </c>
      <c r="L24" s="8" t="s">
        <v>186</v>
      </c>
      <c r="M24" s="8"/>
      <c r="N24" s="8" t="s">
        <v>27</v>
      </c>
      <c r="O24" s="10" t="s">
        <v>187</v>
      </c>
      <c r="P24" s="9" t="s">
        <v>29</v>
      </c>
    </row>
    <row r="25" ht="15.75" customHeight="1">
      <c r="A25" s="2" t="s">
        <v>188</v>
      </c>
      <c r="B25" s="3" t="s">
        <v>17</v>
      </c>
      <c r="C25" s="4" t="s">
        <v>189</v>
      </c>
      <c r="D25" s="5" t="s">
        <v>190</v>
      </c>
      <c r="E25" s="5" t="s">
        <v>79</v>
      </c>
      <c r="F25" s="4" t="s">
        <v>191</v>
      </c>
      <c r="G25" s="4" t="s">
        <v>192</v>
      </c>
      <c r="H25" s="2" t="s">
        <v>114</v>
      </c>
      <c r="I25" s="13" t="s">
        <v>193</v>
      </c>
      <c r="J25" s="6">
        <v>3.0</v>
      </c>
      <c r="K25" s="7" t="s">
        <v>25</v>
      </c>
      <c r="L25" s="8" t="s">
        <v>194</v>
      </c>
      <c r="M25" s="8"/>
      <c r="N25" s="8" t="s">
        <v>27</v>
      </c>
      <c r="O25" s="4" t="s">
        <v>195</v>
      </c>
      <c r="P25" s="2" t="s">
        <v>29</v>
      </c>
    </row>
    <row r="26" ht="15.75" customHeight="1">
      <c r="A26" s="9" t="s">
        <v>196</v>
      </c>
      <c r="B26" s="3" t="s">
        <v>17</v>
      </c>
      <c r="C26" s="10" t="s">
        <v>197</v>
      </c>
      <c r="D26" s="11" t="s">
        <v>105</v>
      </c>
      <c r="E26" s="11" t="s">
        <v>198</v>
      </c>
      <c r="F26" s="10" t="s">
        <v>21</v>
      </c>
      <c r="G26" s="10" t="s">
        <v>35</v>
      </c>
      <c r="H26" s="9" t="s">
        <v>36</v>
      </c>
      <c r="I26" s="10" t="s">
        <v>140</v>
      </c>
      <c r="J26" s="6">
        <v>3.0</v>
      </c>
      <c r="K26" s="7" t="s">
        <v>25</v>
      </c>
      <c r="L26" s="8" t="s">
        <v>199</v>
      </c>
      <c r="M26" s="8"/>
      <c r="N26" s="8" t="s">
        <v>27</v>
      </c>
      <c r="O26" s="10" t="s">
        <v>200</v>
      </c>
      <c r="P26" s="9" t="s">
        <v>29</v>
      </c>
    </row>
    <row r="27" ht="15.75" customHeight="1">
      <c r="A27" s="9" t="s">
        <v>201</v>
      </c>
      <c r="B27" s="3" t="s">
        <v>17</v>
      </c>
      <c r="C27" s="10" t="s">
        <v>202</v>
      </c>
      <c r="D27" s="11" t="s">
        <v>203</v>
      </c>
      <c r="E27" s="11" t="s">
        <v>204</v>
      </c>
      <c r="F27" s="10" t="s">
        <v>21</v>
      </c>
      <c r="G27" s="10" t="s">
        <v>22</v>
      </c>
      <c r="H27" s="9" t="s">
        <v>23</v>
      </c>
      <c r="I27" s="10" t="s">
        <v>140</v>
      </c>
      <c r="J27" s="6">
        <v>3.0</v>
      </c>
      <c r="K27" s="7" t="s">
        <v>25</v>
      </c>
      <c r="L27" s="8" t="s">
        <v>205</v>
      </c>
      <c r="M27" s="8"/>
      <c r="N27" s="8" t="s">
        <v>27</v>
      </c>
      <c r="O27" s="10" t="s">
        <v>206</v>
      </c>
      <c r="P27" s="9" t="s">
        <v>29</v>
      </c>
    </row>
    <row r="28" ht="15.75" customHeight="1">
      <c r="A28" s="2" t="s">
        <v>207</v>
      </c>
      <c r="B28" s="3" t="s">
        <v>17</v>
      </c>
      <c r="C28" s="4" t="s">
        <v>208</v>
      </c>
      <c r="D28" s="5" t="s">
        <v>209</v>
      </c>
      <c r="E28" s="5" t="s">
        <v>210</v>
      </c>
      <c r="F28" s="4" t="s">
        <v>34</v>
      </c>
      <c r="G28" s="4" t="s">
        <v>127</v>
      </c>
      <c r="H28" s="2" t="s">
        <v>36</v>
      </c>
      <c r="I28" s="4" t="s">
        <v>120</v>
      </c>
      <c r="J28" s="6">
        <v>2.0</v>
      </c>
      <c r="K28" s="7" t="s">
        <v>25</v>
      </c>
      <c r="L28" s="8" t="s">
        <v>211</v>
      </c>
      <c r="M28" s="8"/>
      <c r="N28" s="8" t="s">
        <v>27</v>
      </c>
      <c r="O28" s="4" t="s">
        <v>212</v>
      </c>
      <c r="P28" s="2" t="s">
        <v>29</v>
      </c>
    </row>
    <row r="29" ht="15.75" customHeight="1">
      <c r="A29" s="9" t="s">
        <v>213</v>
      </c>
      <c r="B29" s="3" t="s">
        <v>17</v>
      </c>
      <c r="C29" s="10" t="s">
        <v>214</v>
      </c>
      <c r="D29" s="11" t="s">
        <v>78</v>
      </c>
      <c r="E29" s="11" t="s">
        <v>32</v>
      </c>
      <c r="F29" s="10" t="s">
        <v>215</v>
      </c>
      <c r="G29" s="10" t="s">
        <v>127</v>
      </c>
      <c r="H29" s="9" t="s">
        <v>36</v>
      </c>
      <c r="I29" s="12" t="s">
        <v>37</v>
      </c>
      <c r="J29" s="6">
        <v>3.0</v>
      </c>
      <c r="K29" s="7" t="s">
        <v>25</v>
      </c>
      <c r="L29" s="8" t="s">
        <v>216</v>
      </c>
      <c r="M29" s="8"/>
      <c r="N29" s="8" t="s">
        <v>27</v>
      </c>
      <c r="O29" s="10" t="s">
        <v>217</v>
      </c>
      <c r="P29" s="9" t="s">
        <v>29</v>
      </c>
    </row>
    <row r="30" ht="15.75" customHeight="1">
      <c r="A30" s="9" t="s">
        <v>218</v>
      </c>
      <c r="B30" s="3" t="s">
        <v>17</v>
      </c>
      <c r="C30" s="10" t="s">
        <v>219</v>
      </c>
      <c r="D30" s="11" t="s">
        <v>33</v>
      </c>
      <c r="E30" s="11" t="s">
        <v>220</v>
      </c>
      <c r="F30" s="10" t="s">
        <v>21</v>
      </c>
      <c r="G30" s="10" t="s">
        <v>35</v>
      </c>
      <c r="H30" s="9" t="s">
        <v>36</v>
      </c>
      <c r="I30" s="12" t="s">
        <v>73</v>
      </c>
      <c r="J30" s="6">
        <v>2.0</v>
      </c>
      <c r="K30" s="7" t="s">
        <v>25</v>
      </c>
      <c r="L30" s="8" t="s">
        <v>221</v>
      </c>
      <c r="M30" s="8"/>
      <c r="N30" s="8" t="s">
        <v>27</v>
      </c>
      <c r="O30" s="10" t="s">
        <v>222</v>
      </c>
      <c r="P30" s="9" t="s">
        <v>29</v>
      </c>
    </row>
    <row r="31" ht="15.75" customHeight="1">
      <c r="A31" s="2" t="s">
        <v>223</v>
      </c>
      <c r="B31" s="3" t="s">
        <v>17</v>
      </c>
      <c r="C31" s="4" t="s">
        <v>224</v>
      </c>
      <c r="D31" s="5" t="s">
        <v>176</v>
      </c>
      <c r="E31" s="5" t="s">
        <v>225</v>
      </c>
      <c r="F31" s="4" t="s">
        <v>21</v>
      </c>
      <c r="G31" s="4" t="s">
        <v>35</v>
      </c>
      <c r="H31" s="2" t="s">
        <v>36</v>
      </c>
      <c r="I31" s="13" t="s">
        <v>65</v>
      </c>
      <c r="J31" s="6">
        <v>4.0</v>
      </c>
      <c r="K31" s="7" t="s">
        <v>25</v>
      </c>
      <c r="L31" s="8" t="s">
        <v>226</v>
      </c>
      <c r="M31" s="8"/>
      <c r="N31" s="8" t="s">
        <v>27</v>
      </c>
      <c r="O31" s="4" t="s">
        <v>227</v>
      </c>
      <c r="P31" s="2" t="s">
        <v>29</v>
      </c>
    </row>
    <row r="32" ht="15.75" customHeight="1">
      <c r="A32" s="2" t="s">
        <v>228</v>
      </c>
      <c r="B32" s="3" t="s">
        <v>17</v>
      </c>
      <c r="C32" s="4" t="s">
        <v>229</v>
      </c>
      <c r="D32" s="5" t="s">
        <v>105</v>
      </c>
      <c r="E32" s="5" t="s">
        <v>145</v>
      </c>
      <c r="F32" s="4" t="s">
        <v>34</v>
      </c>
      <c r="G32" s="4" t="s">
        <v>35</v>
      </c>
      <c r="H32" s="2" t="s">
        <v>36</v>
      </c>
      <c r="I32" s="13" t="s">
        <v>65</v>
      </c>
      <c r="J32" s="6">
        <v>3.0</v>
      </c>
      <c r="K32" s="7" t="s">
        <v>25</v>
      </c>
      <c r="L32" s="8" t="s">
        <v>230</v>
      </c>
      <c r="M32" s="8"/>
      <c r="N32" s="8" t="s">
        <v>27</v>
      </c>
      <c r="O32" s="4" t="s">
        <v>231</v>
      </c>
      <c r="P32" s="2" t="s">
        <v>29</v>
      </c>
    </row>
    <row r="33" ht="15.75" customHeight="1">
      <c r="A33" s="2" t="s">
        <v>232</v>
      </c>
      <c r="B33" s="3" t="s">
        <v>17</v>
      </c>
      <c r="C33" s="4" t="s">
        <v>233</v>
      </c>
      <c r="D33" s="5" t="s">
        <v>106</v>
      </c>
      <c r="E33" s="5" t="s">
        <v>198</v>
      </c>
      <c r="F33" s="4" t="s">
        <v>34</v>
      </c>
      <c r="G33" s="4" t="s">
        <v>35</v>
      </c>
      <c r="H33" s="2" t="s">
        <v>36</v>
      </c>
      <c r="I33" s="4" t="s">
        <v>108</v>
      </c>
      <c r="J33" s="6">
        <v>2.0</v>
      </c>
      <c r="K33" s="7" t="s">
        <v>25</v>
      </c>
      <c r="L33" s="8" t="s">
        <v>234</v>
      </c>
      <c r="M33" s="8"/>
      <c r="N33" s="8" t="s">
        <v>27</v>
      </c>
      <c r="O33" s="4" t="s">
        <v>235</v>
      </c>
      <c r="P33" s="2" t="s">
        <v>29</v>
      </c>
    </row>
    <row r="34" ht="15.75" customHeight="1">
      <c r="A34" s="9" t="s">
        <v>236</v>
      </c>
      <c r="B34" s="3" t="s">
        <v>17</v>
      </c>
      <c r="C34" s="10" t="s">
        <v>237</v>
      </c>
      <c r="D34" s="11" t="s">
        <v>78</v>
      </c>
      <c r="E34" s="11" t="s">
        <v>32</v>
      </c>
      <c r="F34" s="10" t="s">
        <v>238</v>
      </c>
      <c r="G34" s="10" t="s">
        <v>239</v>
      </c>
      <c r="H34" s="9" t="s">
        <v>36</v>
      </c>
      <c r="I34" s="12" t="s">
        <v>140</v>
      </c>
      <c r="J34" s="6">
        <v>4.0</v>
      </c>
      <c r="K34" s="7" t="s">
        <v>25</v>
      </c>
      <c r="L34" s="8" t="s">
        <v>240</v>
      </c>
      <c r="M34" s="8"/>
      <c r="N34" s="8" t="s">
        <v>27</v>
      </c>
      <c r="O34" s="10" t="s">
        <v>241</v>
      </c>
      <c r="P34" s="9" t="s">
        <v>29</v>
      </c>
    </row>
    <row r="35" ht="15.75" customHeight="1">
      <c r="A35" s="9" t="s">
        <v>242</v>
      </c>
      <c r="B35" s="3" t="s">
        <v>17</v>
      </c>
      <c r="C35" s="10" t="s">
        <v>243</v>
      </c>
      <c r="D35" s="11" t="s">
        <v>106</v>
      </c>
      <c r="E35" s="11" t="s">
        <v>198</v>
      </c>
      <c r="F35" s="10" t="s">
        <v>244</v>
      </c>
      <c r="G35" s="10" t="s">
        <v>245</v>
      </c>
      <c r="H35" s="9" t="s">
        <v>246</v>
      </c>
      <c r="I35" s="12" t="s">
        <v>37</v>
      </c>
      <c r="J35" s="6">
        <v>4.0</v>
      </c>
      <c r="K35" s="7" t="s">
        <v>25</v>
      </c>
      <c r="L35" s="8" t="s">
        <v>247</v>
      </c>
      <c r="M35" s="8"/>
      <c r="N35" s="8" t="s">
        <v>27</v>
      </c>
      <c r="O35" s="10" t="s">
        <v>248</v>
      </c>
      <c r="P35" s="9" t="s">
        <v>29</v>
      </c>
    </row>
    <row r="36" ht="15.75" customHeight="1">
      <c r="A36" s="2" t="s">
        <v>249</v>
      </c>
      <c r="B36" s="3" t="s">
        <v>17</v>
      </c>
      <c r="C36" s="4" t="s">
        <v>250</v>
      </c>
      <c r="D36" s="5" t="s">
        <v>32</v>
      </c>
      <c r="E36" s="5" t="s">
        <v>251</v>
      </c>
      <c r="F36" s="4" t="s">
        <v>252</v>
      </c>
      <c r="G36" s="4" t="s">
        <v>127</v>
      </c>
      <c r="H36" s="2" t="s">
        <v>36</v>
      </c>
      <c r="I36" s="13" t="s">
        <v>140</v>
      </c>
      <c r="J36" s="6">
        <v>3.0</v>
      </c>
      <c r="K36" s="7" t="s">
        <v>25</v>
      </c>
      <c r="L36" s="8" t="s">
        <v>253</v>
      </c>
      <c r="M36" s="8"/>
      <c r="N36" s="8" t="s">
        <v>27</v>
      </c>
      <c r="O36" s="4" t="s">
        <v>254</v>
      </c>
      <c r="P36" s="2" t="s">
        <v>29</v>
      </c>
    </row>
    <row r="37" ht="15.75" customHeight="1">
      <c r="A37" s="9" t="s">
        <v>255</v>
      </c>
      <c r="B37" s="3" t="s">
        <v>17</v>
      </c>
      <c r="C37" s="10" t="s">
        <v>256</v>
      </c>
      <c r="D37" s="11" t="s">
        <v>257</v>
      </c>
      <c r="E37" s="11" t="s">
        <v>258</v>
      </c>
      <c r="F37" s="10" t="s">
        <v>259</v>
      </c>
      <c r="G37" s="10" t="s">
        <v>259</v>
      </c>
      <c r="H37" s="9" t="s">
        <v>36</v>
      </c>
      <c r="I37" s="10" t="s">
        <v>259</v>
      </c>
      <c r="J37" s="6">
        <v>3.0</v>
      </c>
      <c r="K37" s="7" t="s">
        <v>25</v>
      </c>
      <c r="L37" s="8" t="s">
        <v>260</v>
      </c>
      <c r="M37" s="8"/>
      <c r="N37" s="8" t="s">
        <v>27</v>
      </c>
      <c r="O37" s="10" t="s">
        <v>261</v>
      </c>
      <c r="P37" s="9" t="s">
        <v>29</v>
      </c>
    </row>
    <row r="38" ht="15.75" customHeight="1">
      <c r="A38" s="2" t="s">
        <v>262</v>
      </c>
      <c r="B38" s="3" t="s">
        <v>17</v>
      </c>
      <c r="C38" s="4" t="s">
        <v>263</v>
      </c>
      <c r="D38" s="5" t="s">
        <v>84</v>
      </c>
      <c r="E38" s="5" t="s">
        <v>264</v>
      </c>
      <c r="F38" s="4" t="s">
        <v>21</v>
      </c>
      <c r="G38" s="4" t="s">
        <v>139</v>
      </c>
      <c r="H38" s="2" t="s">
        <v>36</v>
      </c>
      <c r="I38" s="13" t="s">
        <v>37</v>
      </c>
      <c r="J38" s="6">
        <v>3.0</v>
      </c>
      <c r="K38" s="7" t="s">
        <v>25</v>
      </c>
      <c r="L38" s="8" t="s">
        <v>265</v>
      </c>
      <c r="M38" s="8"/>
      <c r="N38" s="8" t="s">
        <v>27</v>
      </c>
      <c r="O38" s="4" t="s">
        <v>266</v>
      </c>
      <c r="P38" s="2" t="s">
        <v>29</v>
      </c>
    </row>
    <row r="39" ht="15.75" customHeight="1">
      <c r="A39" s="2" t="s">
        <v>267</v>
      </c>
      <c r="B39" s="3" t="s">
        <v>17</v>
      </c>
      <c r="C39" s="4" t="s">
        <v>268</v>
      </c>
      <c r="D39" s="5" t="s">
        <v>106</v>
      </c>
      <c r="E39" s="5" t="s">
        <v>198</v>
      </c>
      <c r="F39" s="4" t="s">
        <v>269</v>
      </c>
      <c r="G39" s="4" t="s">
        <v>269</v>
      </c>
      <c r="H39" s="2" t="s">
        <v>36</v>
      </c>
      <c r="I39" s="13" t="s">
        <v>37</v>
      </c>
      <c r="J39" s="6">
        <v>4.0</v>
      </c>
      <c r="K39" s="7" t="s">
        <v>25</v>
      </c>
      <c r="L39" s="8" t="s">
        <v>270</v>
      </c>
      <c r="M39" s="8"/>
      <c r="N39" s="8" t="s">
        <v>27</v>
      </c>
      <c r="O39" s="4" t="s">
        <v>271</v>
      </c>
      <c r="P39" s="2" t="s">
        <v>29</v>
      </c>
    </row>
    <row r="40" ht="15.75" customHeight="1">
      <c r="A40" s="2" t="s">
        <v>272</v>
      </c>
      <c r="B40" s="3" t="s">
        <v>17</v>
      </c>
      <c r="C40" s="4" t="s">
        <v>273</v>
      </c>
      <c r="D40" s="5" t="s">
        <v>105</v>
      </c>
      <c r="E40" s="5" t="s">
        <v>198</v>
      </c>
      <c r="F40" s="4" t="s">
        <v>34</v>
      </c>
      <c r="G40" s="4" t="s">
        <v>35</v>
      </c>
      <c r="H40" s="2" t="s">
        <v>36</v>
      </c>
      <c r="I40" s="13" t="s">
        <v>37</v>
      </c>
      <c r="J40" s="6">
        <v>4.0</v>
      </c>
      <c r="K40" s="7" t="s">
        <v>25</v>
      </c>
      <c r="L40" s="8" t="s">
        <v>274</v>
      </c>
      <c r="M40" s="8"/>
      <c r="N40" s="8" t="s">
        <v>27</v>
      </c>
      <c r="O40" s="4" t="s">
        <v>275</v>
      </c>
      <c r="P40" s="2" t="s">
        <v>29</v>
      </c>
    </row>
    <row r="41" ht="15.75" customHeight="1">
      <c r="A41" s="9" t="s">
        <v>276</v>
      </c>
      <c r="B41" s="3" t="s">
        <v>17</v>
      </c>
      <c r="C41" s="10" t="s">
        <v>277</v>
      </c>
      <c r="D41" s="11" t="s">
        <v>278</v>
      </c>
      <c r="E41" s="11" t="s">
        <v>279</v>
      </c>
      <c r="F41" s="10" t="s">
        <v>21</v>
      </c>
      <c r="G41" s="10" t="s">
        <v>139</v>
      </c>
      <c r="H41" s="9" t="s">
        <v>36</v>
      </c>
      <c r="I41" s="12" t="s">
        <v>280</v>
      </c>
      <c r="J41" s="6">
        <v>3.0</v>
      </c>
      <c r="K41" s="7" t="s">
        <v>25</v>
      </c>
      <c r="L41" s="8" t="s">
        <v>281</v>
      </c>
      <c r="M41" s="8"/>
      <c r="N41" s="8" t="s">
        <v>27</v>
      </c>
      <c r="O41" s="10" t="s">
        <v>282</v>
      </c>
      <c r="P41" s="9" t="s">
        <v>29</v>
      </c>
    </row>
    <row r="42" ht="15.75" customHeight="1">
      <c r="A42" s="2" t="s">
        <v>283</v>
      </c>
      <c r="B42" s="3" t="s">
        <v>17</v>
      </c>
      <c r="C42" s="4" t="s">
        <v>284</v>
      </c>
      <c r="D42" s="5" t="s">
        <v>285</v>
      </c>
      <c r="E42" s="5" t="s">
        <v>286</v>
      </c>
      <c r="F42" s="4" t="s">
        <v>21</v>
      </c>
      <c r="G42" s="4" t="s">
        <v>35</v>
      </c>
      <c r="H42" s="2" t="s">
        <v>36</v>
      </c>
      <c r="I42" s="13" t="s">
        <v>65</v>
      </c>
      <c r="J42" s="6">
        <v>2.0</v>
      </c>
      <c r="K42" s="7" t="s">
        <v>25</v>
      </c>
      <c r="L42" s="8" t="s">
        <v>287</v>
      </c>
      <c r="M42" s="8"/>
      <c r="N42" s="8" t="s">
        <v>27</v>
      </c>
      <c r="O42" s="4" t="s">
        <v>288</v>
      </c>
      <c r="P42" s="2" t="s">
        <v>29</v>
      </c>
    </row>
    <row r="43" ht="15.75" customHeight="1">
      <c r="A43" s="9" t="s">
        <v>289</v>
      </c>
      <c r="B43" s="3" t="s">
        <v>17</v>
      </c>
      <c r="C43" s="10" t="s">
        <v>290</v>
      </c>
      <c r="D43" s="11" t="s">
        <v>291</v>
      </c>
      <c r="E43" s="11" t="s">
        <v>292</v>
      </c>
      <c r="F43" s="10" t="s">
        <v>53</v>
      </c>
      <c r="G43" s="10" t="s">
        <v>22</v>
      </c>
      <c r="H43" s="9" t="s">
        <v>23</v>
      </c>
      <c r="I43" s="12" t="s">
        <v>100</v>
      </c>
      <c r="J43" s="6">
        <v>3.0</v>
      </c>
      <c r="K43" s="7" t="s">
        <v>25</v>
      </c>
      <c r="L43" s="8" t="s">
        <v>293</v>
      </c>
      <c r="M43" s="8"/>
      <c r="N43" s="8" t="s">
        <v>27</v>
      </c>
      <c r="O43" s="10" t="s">
        <v>294</v>
      </c>
      <c r="P43" s="9" t="s">
        <v>29</v>
      </c>
    </row>
    <row r="44" ht="15.75" customHeight="1">
      <c r="A44" s="9" t="s">
        <v>295</v>
      </c>
      <c r="B44" s="3" t="s">
        <v>17</v>
      </c>
      <c r="C44" s="10" t="s">
        <v>296</v>
      </c>
      <c r="D44" s="11" t="s">
        <v>297</v>
      </c>
      <c r="E44" s="11" t="s">
        <v>297</v>
      </c>
      <c r="F44" s="10" t="s">
        <v>44</v>
      </c>
      <c r="G44" s="10" t="s">
        <v>127</v>
      </c>
      <c r="H44" s="9" t="s">
        <v>36</v>
      </c>
      <c r="I44" s="10" t="s">
        <v>120</v>
      </c>
      <c r="J44" s="6">
        <v>3.0</v>
      </c>
      <c r="K44" s="7" t="s">
        <v>25</v>
      </c>
      <c r="L44" s="8" t="s">
        <v>298</v>
      </c>
      <c r="M44" s="8"/>
      <c r="N44" s="8" t="s">
        <v>27</v>
      </c>
      <c r="O44" s="10" t="s">
        <v>299</v>
      </c>
      <c r="P44" s="9" t="s">
        <v>29</v>
      </c>
    </row>
    <row r="45" ht="15.75" customHeight="1">
      <c r="A45" s="2" t="s">
        <v>300</v>
      </c>
      <c r="B45" s="3" t="s">
        <v>17</v>
      </c>
      <c r="C45" s="4" t="s">
        <v>301</v>
      </c>
      <c r="D45" s="5" t="s">
        <v>105</v>
      </c>
      <c r="E45" s="5" t="s">
        <v>302</v>
      </c>
      <c r="F45" s="4" t="s">
        <v>34</v>
      </c>
      <c r="G45" s="4" t="s">
        <v>35</v>
      </c>
      <c r="H45" s="2" t="s">
        <v>36</v>
      </c>
      <c r="I45" s="13" t="s">
        <v>37</v>
      </c>
      <c r="J45" s="6">
        <v>2.0</v>
      </c>
      <c r="K45" s="7" t="s">
        <v>25</v>
      </c>
      <c r="L45" s="8" t="s">
        <v>303</v>
      </c>
      <c r="M45" s="8"/>
      <c r="N45" s="8" t="s">
        <v>27</v>
      </c>
      <c r="O45" s="4" t="s">
        <v>304</v>
      </c>
      <c r="P45" s="2" t="s">
        <v>29</v>
      </c>
    </row>
    <row r="46" ht="15.75" customHeight="1">
      <c r="A46" s="9" t="s">
        <v>305</v>
      </c>
      <c r="B46" s="3" t="s">
        <v>17</v>
      </c>
      <c r="C46" s="10" t="s">
        <v>306</v>
      </c>
      <c r="D46" s="11" t="s">
        <v>307</v>
      </c>
      <c r="E46" s="11" t="s">
        <v>308</v>
      </c>
      <c r="F46" s="10" t="s">
        <v>44</v>
      </c>
      <c r="G46" s="10" t="s">
        <v>35</v>
      </c>
      <c r="H46" s="9" t="s">
        <v>309</v>
      </c>
      <c r="I46" s="12" t="s">
        <v>280</v>
      </c>
      <c r="J46" s="6">
        <v>3.0</v>
      </c>
      <c r="K46" s="7" t="s">
        <v>25</v>
      </c>
      <c r="L46" s="8" t="s">
        <v>310</v>
      </c>
      <c r="M46" s="8"/>
      <c r="N46" s="8" t="s">
        <v>27</v>
      </c>
      <c r="O46" s="10" t="s">
        <v>311</v>
      </c>
      <c r="P46" s="9" t="s">
        <v>29</v>
      </c>
    </row>
    <row r="47" ht="15.75" customHeight="1">
      <c r="A47" s="2" t="s">
        <v>312</v>
      </c>
      <c r="B47" s="3" t="s">
        <v>17</v>
      </c>
      <c r="C47" s="4" t="s">
        <v>59</v>
      </c>
      <c r="D47" s="5" t="s">
        <v>60</v>
      </c>
      <c r="E47" s="5" t="s">
        <v>61</v>
      </c>
      <c r="F47" s="4" t="s">
        <v>313</v>
      </c>
      <c r="G47" s="4" t="s">
        <v>314</v>
      </c>
      <c r="H47" s="2" t="s">
        <v>64</v>
      </c>
      <c r="I47" s="13" t="s">
        <v>37</v>
      </c>
      <c r="J47" s="6">
        <v>3.0</v>
      </c>
      <c r="K47" s="7" t="s">
        <v>25</v>
      </c>
      <c r="L47" s="8" t="s">
        <v>315</v>
      </c>
      <c r="M47" s="8"/>
      <c r="N47" s="8" t="s">
        <v>27</v>
      </c>
      <c r="O47" s="4" t="s">
        <v>316</v>
      </c>
      <c r="P47" s="2" t="s">
        <v>29</v>
      </c>
    </row>
    <row r="48" ht="15.75" customHeight="1">
      <c r="A48" s="9" t="s">
        <v>317</v>
      </c>
      <c r="B48" s="3" t="s">
        <v>17</v>
      </c>
      <c r="C48" s="10" t="s">
        <v>318</v>
      </c>
      <c r="D48" s="11" t="s">
        <v>78</v>
      </c>
      <c r="E48" s="11" t="s">
        <v>79</v>
      </c>
      <c r="F48" s="10" t="s">
        <v>319</v>
      </c>
      <c r="G48" s="10" t="s">
        <v>320</v>
      </c>
      <c r="H48" s="9" t="s">
        <v>320</v>
      </c>
      <c r="I48" s="12" t="s">
        <v>37</v>
      </c>
      <c r="J48" s="6">
        <v>3.0</v>
      </c>
      <c r="K48" s="7" t="s">
        <v>25</v>
      </c>
      <c r="L48" s="8" t="s">
        <v>321</v>
      </c>
      <c r="M48" s="8"/>
      <c r="N48" s="8" t="s">
        <v>27</v>
      </c>
      <c r="O48" s="10" t="s">
        <v>322</v>
      </c>
      <c r="P48" s="9" t="s">
        <v>29</v>
      </c>
    </row>
    <row r="49" ht="15.75" customHeight="1">
      <c r="A49" s="2" t="s">
        <v>323</v>
      </c>
      <c r="B49" s="3" t="s">
        <v>17</v>
      </c>
      <c r="C49" s="4" t="s">
        <v>324</v>
      </c>
      <c r="D49" s="5" t="s">
        <v>106</v>
      </c>
      <c r="E49" s="5" t="s">
        <v>198</v>
      </c>
      <c r="F49" s="4" t="s">
        <v>34</v>
      </c>
      <c r="G49" s="4" t="s">
        <v>35</v>
      </c>
      <c r="H49" s="2" t="s">
        <v>320</v>
      </c>
      <c r="I49" s="4" t="s">
        <v>140</v>
      </c>
      <c r="J49" s="6">
        <v>3.0</v>
      </c>
      <c r="K49" s="7" t="s">
        <v>25</v>
      </c>
      <c r="L49" s="8" t="s">
        <v>325</v>
      </c>
      <c r="M49" s="8"/>
      <c r="N49" s="8" t="s">
        <v>27</v>
      </c>
      <c r="O49" s="4" t="s">
        <v>326</v>
      </c>
      <c r="P49" s="2" t="s">
        <v>29</v>
      </c>
    </row>
    <row r="50" ht="15.75" customHeight="1">
      <c r="A50" s="9" t="s">
        <v>327</v>
      </c>
      <c r="B50" s="3" t="s">
        <v>17</v>
      </c>
      <c r="C50" s="10" t="s">
        <v>328</v>
      </c>
      <c r="D50" s="11" t="s">
        <v>84</v>
      </c>
      <c r="E50" s="11" t="s">
        <v>198</v>
      </c>
      <c r="F50" s="10" t="s">
        <v>329</v>
      </c>
      <c r="G50" s="10" t="s">
        <v>329</v>
      </c>
      <c r="H50" s="9" t="s">
        <v>36</v>
      </c>
      <c r="I50" s="12" t="s">
        <v>37</v>
      </c>
      <c r="J50" s="6">
        <v>3.0</v>
      </c>
      <c r="K50" s="7" t="s">
        <v>25</v>
      </c>
      <c r="L50" s="8" t="s">
        <v>330</v>
      </c>
      <c r="M50" s="8"/>
      <c r="N50" s="8" t="s">
        <v>27</v>
      </c>
      <c r="O50" s="10" t="s">
        <v>331</v>
      </c>
      <c r="P50" s="9" t="s">
        <v>29</v>
      </c>
    </row>
    <row r="51" ht="15.75" customHeight="1">
      <c r="A51" s="9" t="s">
        <v>332</v>
      </c>
      <c r="B51" s="3" t="s">
        <v>17</v>
      </c>
      <c r="C51" s="10" t="s">
        <v>333</v>
      </c>
      <c r="D51" s="11" t="s">
        <v>78</v>
      </c>
      <c r="E51" s="11" t="s">
        <v>264</v>
      </c>
      <c r="F51" s="10" t="s">
        <v>21</v>
      </c>
      <c r="G51" s="10" t="s">
        <v>35</v>
      </c>
      <c r="H51" s="9" t="s">
        <v>36</v>
      </c>
      <c r="I51" s="10"/>
      <c r="J51" s="6">
        <v>3.0</v>
      </c>
      <c r="K51" s="7" t="s">
        <v>25</v>
      </c>
      <c r="L51" s="8" t="s">
        <v>334</v>
      </c>
      <c r="M51" s="8"/>
      <c r="N51" s="8" t="s">
        <v>27</v>
      </c>
      <c r="O51" s="10" t="s">
        <v>335</v>
      </c>
      <c r="P51" s="9" t="s">
        <v>29</v>
      </c>
    </row>
    <row r="52" ht="15.75" customHeight="1">
      <c r="A52" s="9" t="s">
        <v>336</v>
      </c>
      <c r="B52" s="3" t="s">
        <v>17</v>
      </c>
      <c r="C52" s="10" t="s">
        <v>337</v>
      </c>
      <c r="D52" s="11" t="s">
        <v>32</v>
      </c>
      <c r="E52" s="11" t="s">
        <v>338</v>
      </c>
      <c r="F52" s="10" t="s">
        <v>139</v>
      </c>
      <c r="G52" s="10" t="s">
        <v>139</v>
      </c>
      <c r="H52" s="9" t="s">
        <v>36</v>
      </c>
      <c r="I52" s="10" t="s">
        <v>339</v>
      </c>
      <c r="J52" s="6">
        <v>4.0</v>
      </c>
      <c r="K52" s="7" t="s">
        <v>25</v>
      </c>
      <c r="L52" s="8" t="s">
        <v>340</v>
      </c>
      <c r="M52" s="8"/>
      <c r="N52" s="8" t="s">
        <v>27</v>
      </c>
      <c r="O52" s="10" t="s">
        <v>341</v>
      </c>
      <c r="P52" s="9" t="s">
        <v>29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342</v>
      </c>
      <c r="B1" s="1" t="s">
        <v>343</v>
      </c>
    </row>
    <row r="2">
      <c r="A2" s="14" t="s">
        <v>344</v>
      </c>
      <c r="B2" s="14">
        <v>31.0</v>
      </c>
    </row>
    <row r="3">
      <c r="A3" s="14" t="s">
        <v>345</v>
      </c>
      <c r="B3" s="14">
        <v>23.0</v>
      </c>
    </row>
    <row r="4">
      <c r="A4" s="14" t="s">
        <v>346</v>
      </c>
      <c r="B4" s="14">
        <v>20.0</v>
      </c>
    </row>
    <row r="5">
      <c r="A5" s="14" t="s">
        <v>347</v>
      </c>
      <c r="B5" s="14">
        <v>18.0</v>
      </c>
    </row>
    <row r="6">
      <c r="A6" s="14" t="s">
        <v>348</v>
      </c>
      <c r="B6" s="14">
        <v>16.0</v>
      </c>
    </row>
    <row r="7">
      <c r="A7" s="14" t="s">
        <v>349</v>
      </c>
      <c r="B7" s="14">
        <v>15.0</v>
      </c>
    </row>
    <row r="8">
      <c r="A8" s="14" t="s">
        <v>350</v>
      </c>
      <c r="B8" s="14">
        <v>13.0</v>
      </c>
    </row>
    <row r="9">
      <c r="A9" s="14" t="s">
        <v>351</v>
      </c>
      <c r="B9" s="14">
        <v>12.0</v>
      </c>
    </row>
    <row r="10">
      <c r="A10" s="14" t="s">
        <v>352</v>
      </c>
      <c r="B10" s="14">
        <v>11.0</v>
      </c>
    </row>
    <row r="11">
      <c r="A11" s="14" t="s">
        <v>353</v>
      </c>
      <c r="B11" s="14">
        <v>11.0</v>
      </c>
    </row>
    <row r="12">
      <c r="A12" s="14" t="s">
        <v>354</v>
      </c>
      <c r="B12" s="14">
        <v>11.0</v>
      </c>
    </row>
    <row r="13">
      <c r="A13" s="14" t="s">
        <v>355</v>
      </c>
      <c r="B13" s="14">
        <v>10.0</v>
      </c>
    </row>
    <row r="14">
      <c r="A14" s="14" t="s">
        <v>356</v>
      </c>
      <c r="B14" s="14">
        <v>10.0</v>
      </c>
    </row>
    <row r="15">
      <c r="A15" s="14" t="s">
        <v>357</v>
      </c>
      <c r="B15" s="14">
        <v>9.0</v>
      </c>
    </row>
    <row r="16">
      <c r="A16" s="14" t="s">
        <v>358</v>
      </c>
      <c r="B16" s="14">
        <v>8.0</v>
      </c>
    </row>
    <row r="17">
      <c r="A17" s="14" t="s">
        <v>359</v>
      </c>
      <c r="B17" s="14">
        <v>8.0</v>
      </c>
    </row>
    <row r="18">
      <c r="A18" s="14" t="s">
        <v>360</v>
      </c>
      <c r="B18" s="14">
        <v>8.0</v>
      </c>
    </row>
    <row r="19">
      <c r="A19" s="14" t="s">
        <v>361</v>
      </c>
      <c r="B19" s="14">
        <v>7.0</v>
      </c>
    </row>
    <row r="20">
      <c r="A20" s="14" t="s">
        <v>362</v>
      </c>
      <c r="B20" s="14">
        <v>7.0</v>
      </c>
    </row>
    <row r="21" ht="15.75" customHeight="1">
      <c r="A21" s="14" t="s">
        <v>363</v>
      </c>
      <c r="B21" s="14">
        <v>7.0</v>
      </c>
    </row>
    <row r="22" ht="15.75" customHeight="1">
      <c r="A22" s="14" t="s">
        <v>364</v>
      </c>
      <c r="B22" s="14">
        <v>6.0</v>
      </c>
    </row>
    <row r="23" ht="15.75" customHeight="1">
      <c r="A23" s="14" t="s">
        <v>365</v>
      </c>
      <c r="B23" s="14">
        <v>5.0</v>
      </c>
    </row>
    <row r="24" ht="15.75" customHeight="1">
      <c r="A24" s="14" t="s">
        <v>366</v>
      </c>
      <c r="B24" s="14">
        <v>5.0</v>
      </c>
    </row>
    <row r="25" ht="15.75" customHeight="1">
      <c r="A25" s="14" t="s">
        <v>367</v>
      </c>
      <c r="B25" s="14">
        <v>5.0</v>
      </c>
    </row>
    <row r="26" ht="15.75" customHeight="1">
      <c r="A26" s="14" t="s">
        <v>368</v>
      </c>
      <c r="B26" s="14">
        <v>5.0</v>
      </c>
    </row>
    <row r="27" ht="15.75" customHeight="1">
      <c r="A27" s="14" t="s">
        <v>369</v>
      </c>
      <c r="B27" s="14">
        <v>5.0</v>
      </c>
    </row>
    <row r="28" ht="15.75" customHeight="1">
      <c r="A28" s="14" t="s">
        <v>370</v>
      </c>
      <c r="B28" s="14">
        <v>5.0</v>
      </c>
    </row>
    <row r="29" ht="15.75" customHeight="1">
      <c r="A29" s="14" t="s">
        <v>371</v>
      </c>
      <c r="B29" s="14">
        <v>4.0</v>
      </c>
    </row>
    <row r="30" ht="15.75" customHeight="1">
      <c r="A30" s="14" t="s">
        <v>372</v>
      </c>
      <c r="B30" s="14">
        <v>4.0</v>
      </c>
    </row>
    <row r="31" ht="15.75" customHeight="1">
      <c r="A31" s="14" t="s">
        <v>373</v>
      </c>
      <c r="B31" s="14">
        <v>4.0</v>
      </c>
    </row>
    <row r="32" ht="15.75" customHeight="1">
      <c r="A32" s="14" t="s">
        <v>374</v>
      </c>
      <c r="B32" s="14">
        <v>4.0</v>
      </c>
    </row>
    <row r="33" ht="15.75" customHeight="1">
      <c r="A33" s="14" t="s">
        <v>375</v>
      </c>
      <c r="B33" s="14">
        <v>4.0</v>
      </c>
    </row>
    <row r="34" ht="15.75" customHeight="1">
      <c r="A34" s="14" t="s">
        <v>376</v>
      </c>
      <c r="B34" s="14">
        <v>4.0</v>
      </c>
    </row>
    <row r="35" ht="15.75" customHeight="1">
      <c r="A35" s="14" t="s">
        <v>377</v>
      </c>
      <c r="B35" s="14">
        <v>3.0</v>
      </c>
    </row>
    <row r="36" ht="15.75" customHeight="1">
      <c r="A36" s="14" t="s">
        <v>378</v>
      </c>
      <c r="B36" s="14">
        <v>3.0</v>
      </c>
    </row>
    <row r="37" ht="15.75" customHeight="1">
      <c r="A37" s="14" t="s">
        <v>379</v>
      </c>
      <c r="B37" s="14">
        <v>3.0</v>
      </c>
    </row>
    <row r="38" ht="15.75" customHeight="1">
      <c r="A38" s="14" t="s">
        <v>380</v>
      </c>
      <c r="B38" s="14">
        <v>3.0</v>
      </c>
    </row>
    <row r="39" ht="15.75" customHeight="1">
      <c r="A39" s="14" t="s">
        <v>381</v>
      </c>
      <c r="B39" s="14">
        <v>3.0</v>
      </c>
    </row>
    <row r="40" ht="15.75" customHeight="1">
      <c r="A40" s="14" t="s">
        <v>382</v>
      </c>
      <c r="B40" s="14">
        <v>3.0</v>
      </c>
    </row>
    <row r="41" ht="15.75" customHeight="1">
      <c r="A41" s="14" t="s">
        <v>383</v>
      </c>
      <c r="B41" s="14">
        <v>3.0</v>
      </c>
    </row>
    <row r="42" ht="15.75" customHeight="1">
      <c r="A42" s="14" t="s">
        <v>384</v>
      </c>
      <c r="B42" s="14">
        <v>3.0</v>
      </c>
    </row>
    <row r="43" ht="15.75" customHeight="1">
      <c r="A43" s="14" t="s">
        <v>385</v>
      </c>
      <c r="B43" s="14">
        <v>3.0</v>
      </c>
    </row>
    <row r="44" ht="15.75" customHeight="1">
      <c r="A44" s="14" t="s">
        <v>386</v>
      </c>
      <c r="B44" s="14">
        <v>3.0</v>
      </c>
    </row>
    <row r="45" ht="15.75" customHeight="1">
      <c r="A45" s="14" t="s">
        <v>387</v>
      </c>
      <c r="B45" s="14">
        <v>3.0</v>
      </c>
    </row>
    <row r="46" ht="15.75" customHeight="1">
      <c r="A46" s="14" t="s">
        <v>388</v>
      </c>
      <c r="B46" s="14">
        <v>2.0</v>
      </c>
    </row>
    <row r="47" ht="15.75" customHeight="1">
      <c r="A47" s="14" t="s">
        <v>389</v>
      </c>
      <c r="B47" s="14">
        <v>2.0</v>
      </c>
    </row>
    <row r="48" ht="15.75" customHeight="1">
      <c r="A48" s="14" t="s">
        <v>390</v>
      </c>
      <c r="B48" s="14">
        <v>2.0</v>
      </c>
    </row>
    <row r="49" ht="15.75" customHeight="1">
      <c r="A49" s="14" t="s">
        <v>391</v>
      </c>
      <c r="B49" s="14">
        <v>2.0</v>
      </c>
    </row>
    <row r="50" ht="15.75" customHeight="1">
      <c r="A50" s="14" t="s">
        <v>392</v>
      </c>
      <c r="B50" s="14">
        <v>2.0</v>
      </c>
    </row>
    <row r="51" ht="15.75" customHeight="1">
      <c r="A51" s="14" t="s">
        <v>393</v>
      </c>
      <c r="B51" s="14">
        <v>2.0</v>
      </c>
    </row>
    <row r="52" ht="15.75" customHeight="1">
      <c r="A52" s="14" t="s">
        <v>394</v>
      </c>
      <c r="B52" s="14">
        <v>2.0</v>
      </c>
    </row>
    <row r="53" ht="15.75" customHeight="1">
      <c r="A53" s="14" t="s">
        <v>395</v>
      </c>
      <c r="B53" s="14">
        <v>2.0</v>
      </c>
    </row>
    <row r="54" ht="15.75" customHeight="1">
      <c r="A54" s="14" t="s">
        <v>396</v>
      </c>
      <c r="B54" s="14">
        <v>2.0</v>
      </c>
    </row>
    <row r="55" ht="15.75" customHeight="1">
      <c r="A55" s="14" t="s">
        <v>397</v>
      </c>
      <c r="B55" s="14">
        <v>2.0</v>
      </c>
    </row>
    <row r="56" ht="15.75" customHeight="1">
      <c r="A56" s="14" t="s">
        <v>398</v>
      </c>
      <c r="B56" s="14">
        <v>2.0</v>
      </c>
    </row>
    <row r="57" ht="15.75" customHeight="1">
      <c r="A57" s="14" t="s">
        <v>399</v>
      </c>
      <c r="B57" s="14">
        <v>2.0</v>
      </c>
    </row>
    <row r="58" ht="15.75" customHeight="1">
      <c r="A58" s="14" t="s">
        <v>400</v>
      </c>
      <c r="B58" s="14">
        <v>2.0</v>
      </c>
    </row>
    <row r="59" ht="15.75" customHeight="1">
      <c r="A59" s="14" t="s">
        <v>401</v>
      </c>
      <c r="B59" s="14">
        <v>2.0</v>
      </c>
    </row>
    <row r="60" ht="15.75" customHeight="1">
      <c r="A60" s="14" t="s">
        <v>402</v>
      </c>
      <c r="B60" s="14">
        <v>2.0</v>
      </c>
    </row>
    <row r="61" ht="15.75" customHeight="1">
      <c r="A61" s="14" t="s">
        <v>403</v>
      </c>
      <c r="B61" s="14">
        <v>2.0</v>
      </c>
    </row>
    <row r="62" ht="15.75" customHeight="1">
      <c r="A62" s="14" t="s">
        <v>404</v>
      </c>
      <c r="B62" s="14">
        <v>2.0</v>
      </c>
    </row>
    <row r="63" ht="15.75" customHeight="1">
      <c r="A63" s="14" t="s">
        <v>405</v>
      </c>
      <c r="B63" s="14">
        <v>2.0</v>
      </c>
    </row>
    <row r="64" ht="15.75" customHeight="1">
      <c r="A64" s="14" t="s">
        <v>406</v>
      </c>
      <c r="B64" s="14">
        <v>2.0</v>
      </c>
    </row>
    <row r="65" ht="15.75" customHeight="1">
      <c r="A65" s="14" t="s">
        <v>407</v>
      </c>
      <c r="B65" s="14">
        <v>2.0</v>
      </c>
    </row>
    <row r="66" ht="15.75" customHeight="1">
      <c r="A66" s="14" t="s">
        <v>408</v>
      </c>
      <c r="B66" s="14">
        <v>2.0</v>
      </c>
    </row>
    <row r="67" ht="15.75" customHeight="1">
      <c r="A67" s="14" t="s">
        <v>409</v>
      </c>
      <c r="B67" s="14">
        <v>2.0</v>
      </c>
    </row>
    <row r="68" ht="15.75" customHeight="1">
      <c r="A68" s="14" t="s">
        <v>410</v>
      </c>
      <c r="B68" s="14">
        <v>2.0</v>
      </c>
    </row>
    <row r="69" ht="15.75" customHeight="1">
      <c r="A69" s="14" t="s">
        <v>411</v>
      </c>
      <c r="B69" s="14">
        <v>2.0</v>
      </c>
    </row>
    <row r="70" ht="15.75" customHeight="1">
      <c r="A70" s="14" t="s">
        <v>412</v>
      </c>
      <c r="B70" s="14">
        <v>2.0</v>
      </c>
    </row>
    <row r="71" ht="15.75" customHeight="1">
      <c r="A71" s="14" t="s">
        <v>413</v>
      </c>
      <c r="B71" s="14">
        <v>2.0</v>
      </c>
    </row>
    <row r="72" ht="15.75" customHeight="1">
      <c r="A72" s="14" t="s">
        <v>414</v>
      </c>
      <c r="B72" s="14">
        <v>2.0</v>
      </c>
    </row>
    <row r="73" ht="15.75" customHeight="1">
      <c r="A73" s="14" t="s">
        <v>415</v>
      </c>
      <c r="B73" s="14">
        <v>2.0</v>
      </c>
    </row>
    <row r="74" ht="15.75" customHeight="1">
      <c r="A74" s="14" t="s">
        <v>416</v>
      </c>
      <c r="B74" s="14">
        <v>2.0</v>
      </c>
    </row>
    <row r="75" ht="15.75" customHeight="1">
      <c r="A75" s="14" t="s">
        <v>417</v>
      </c>
      <c r="B75" s="14">
        <v>2.0</v>
      </c>
    </row>
    <row r="76" ht="15.75" customHeight="1">
      <c r="A76" s="14" t="s">
        <v>418</v>
      </c>
      <c r="B76" s="14">
        <v>2.0</v>
      </c>
    </row>
    <row r="77" ht="15.75" customHeight="1">
      <c r="A77" s="14" t="s">
        <v>419</v>
      </c>
      <c r="B77" s="14">
        <v>2.0</v>
      </c>
    </row>
    <row r="78" ht="15.75" customHeight="1">
      <c r="A78" s="14" t="s">
        <v>420</v>
      </c>
      <c r="B78" s="14">
        <v>1.0</v>
      </c>
    </row>
    <row r="79" ht="15.75" customHeight="1">
      <c r="A79" s="14" t="s">
        <v>421</v>
      </c>
      <c r="B79" s="14">
        <v>1.0</v>
      </c>
    </row>
    <row r="80" ht="15.75" customHeight="1">
      <c r="A80" s="14" t="s">
        <v>422</v>
      </c>
      <c r="B80" s="14">
        <v>1.0</v>
      </c>
    </row>
    <row r="81" ht="15.75" customHeight="1">
      <c r="A81" s="14" t="s">
        <v>423</v>
      </c>
      <c r="B81" s="14">
        <v>1.0</v>
      </c>
    </row>
    <row r="82" ht="15.75" customHeight="1">
      <c r="A82" s="14" t="s">
        <v>424</v>
      </c>
      <c r="B82" s="14">
        <v>1.0</v>
      </c>
    </row>
    <row r="83" ht="15.75" customHeight="1">
      <c r="A83" s="14" t="s">
        <v>425</v>
      </c>
      <c r="B83" s="14">
        <v>1.0</v>
      </c>
    </row>
    <row r="84" ht="15.75" customHeight="1">
      <c r="A84" s="14" t="s">
        <v>426</v>
      </c>
      <c r="B84" s="14">
        <v>1.0</v>
      </c>
    </row>
    <row r="85" ht="15.75" customHeight="1">
      <c r="A85" s="14" t="s">
        <v>427</v>
      </c>
      <c r="B85" s="14">
        <v>1.0</v>
      </c>
    </row>
    <row r="86" ht="15.75" customHeight="1">
      <c r="A86" s="14" t="s">
        <v>428</v>
      </c>
      <c r="B86" s="14">
        <v>1.0</v>
      </c>
    </row>
    <row r="87" ht="15.75" customHeight="1">
      <c r="A87" s="14" t="s">
        <v>429</v>
      </c>
      <c r="B87" s="14">
        <v>1.0</v>
      </c>
    </row>
    <row r="88" ht="15.75" customHeight="1">
      <c r="A88" s="14" t="s">
        <v>430</v>
      </c>
      <c r="B88" s="14">
        <v>1.0</v>
      </c>
    </row>
    <row r="89" ht="15.75" customHeight="1">
      <c r="A89" s="14" t="s">
        <v>431</v>
      </c>
      <c r="B89" s="14">
        <v>1.0</v>
      </c>
    </row>
    <row r="90" ht="15.75" customHeight="1">
      <c r="A90" s="14" t="s">
        <v>432</v>
      </c>
      <c r="B90" s="14">
        <v>1.0</v>
      </c>
    </row>
    <row r="91" ht="15.75" customHeight="1">
      <c r="A91" s="14" t="s">
        <v>433</v>
      </c>
      <c r="B91" s="14">
        <v>1.0</v>
      </c>
    </row>
    <row r="92" ht="15.75" customHeight="1">
      <c r="A92" s="14" t="s">
        <v>434</v>
      </c>
      <c r="B92" s="14">
        <v>1.0</v>
      </c>
    </row>
    <row r="93" ht="15.75" customHeight="1">
      <c r="A93" s="14" t="s">
        <v>435</v>
      </c>
      <c r="B93" s="14">
        <v>1.0</v>
      </c>
    </row>
    <row r="94" ht="15.75" customHeight="1">
      <c r="A94" s="14" t="s">
        <v>436</v>
      </c>
      <c r="B94" s="14">
        <v>1.0</v>
      </c>
    </row>
    <row r="95" ht="15.75" customHeight="1">
      <c r="A95" s="14" t="s">
        <v>437</v>
      </c>
      <c r="B95" s="14">
        <v>1.0</v>
      </c>
    </row>
    <row r="96" ht="15.75" customHeight="1">
      <c r="A96" s="14" t="s">
        <v>438</v>
      </c>
      <c r="B96" s="14">
        <v>1.0</v>
      </c>
    </row>
    <row r="97" ht="15.75" customHeight="1">
      <c r="A97" s="14" t="s">
        <v>439</v>
      </c>
      <c r="B97" s="14">
        <v>1.0</v>
      </c>
    </row>
    <row r="98" ht="15.75" customHeight="1">
      <c r="A98" s="14" t="s">
        <v>440</v>
      </c>
      <c r="B98" s="14">
        <v>1.0</v>
      </c>
    </row>
    <row r="99" ht="15.75" customHeight="1">
      <c r="A99" s="14" t="s">
        <v>441</v>
      </c>
      <c r="B99" s="14">
        <v>1.0</v>
      </c>
    </row>
    <row r="100" ht="15.75" customHeight="1">
      <c r="A100" s="14" t="s">
        <v>442</v>
      </c>
      <c r="B100" s="14">
        <v>1.0</v>
      </c>
    </row>
    <row r="101" ht="15.75" customHeight="1">
      <c r="A101" s="14" t="s">
        <v>443</v>
      </c>
      <c r="B101" s="14">
        <v>1.0</v>
      </c>
    </row>
    <row r="102" ht="15.75" customHeight="1">
      <c r="A102" s="14" t="s">
        <v>444</v>
      </c>
      <c r="B102" s="14">
        <v>1.0</v>
      </c>
    </row>
    <row r="103" ht="15.75" customHeight="1">
      <c r="A103" s="14" t="s">
        <v>445</v>
      </c>
      <c r="B103" s="14">
        <v>1.0</v>
      </c>
    </row>
    <row r="104" ht="15.75" customHeight="1">
      <c r="A104" s="14" t="s">
        <v>446</v>
      </c>
      <c r="B104" s="14">
        <v>1.0</v>
      </c>
    </row>
    <row r="105" ht="15.75" customHeight="1">
      <c r="A105" s="14" t="s">
        <v>447</v>
      </c>
      <c r="B105" s="14">
        <v>1.0</v>
      </c>
    </row>
    <row r="106" ht="15.75" customHeight="1">
      <c r="A106" s="14" t="s">
        <v>448</v>
      </c>
      <c r="B106" s="14">
        <v>1.0</v>
      </c>
    </row>
    <row r="107" ht="15.75" customHeight="1">
      <c r="A107" s="14" t="s">
        <v>449</v>
      </c>
      <c r="B107" s="14">
        <v>1.0</v>
      </c>
    </row>
    <row r="108" ht="15.75" customHeight="1">
      <c r="A108" s="14" t="s">
        <v>450</v>
      </c>
      <c r="B108" s="14">
        <v>1.0</v>
      </c>
    </row>
    <row r="109" ht="15.75" customHeight="1">
      <c r="A109" s="14" t="s">
        <v>451</v>
      </c>
      <c r="B109" s="14">
        <v>1.0</v>
      </c>
    </row>
    <row r="110" ht="15.75" customHeight="1">
      <c r="A110" s="14" t="s">
        <v>452</v>
      </c>
      <c r="B110" s="14">
        <v>1.0</v>
      </c>
    </row>
    <row r="111" ht="15.75" customHeight="1">
      <c r="A111" s="14" t="s">
        <v>453</v>
      </c>
      <c r="B111" s="14">
        <v>1.0</v>
      </c>
    </row>
    <row r="112" ht="15.75" customHeight="1">
      <c r="A112" s="14" t="s">
        <v>454</v>
      </c>
      <c r="B112" s="14">
        <v>1.0</v>
      </c>
    </row>
    <row r="113" ht="15.75" customHeight="1">
      <c r="A113" s="14" t="s">
        <v>455</v>
      </c>
      <c r="B113" s="14">
        <v>1.0</v>
      </c>
    </row>
    <row r="114" ht="15.75" customHeight="1">
      <c r="A114" s="14" t="s">
        <v>456</v>
      </c>
      <c r="B114" s="14">
        <v>1.0</v>
      </c>
    </row>
    <row r="115" ht="15.75" customHeight="1">
      <c r="A115" s="14" t="s">
        <v>457</v>
      </c>
      <c r="B115" s="14">
        <v>1.0</v>
      </c>
    </row>
    <row r="116" ht="15.75" customHeight="1">
      <c r="A116" s="14" t="s">
        <v>458</v>
      </c>
      <c r="B116" s="14">
        <v>1.0</v>
      </c>
    </row>
    <row r="117" ht="15.75" customHeight="1">
      <c r="A117" s="14" t="s">
        <v>459</v>
      </c>
      <c r="B117" s="14">
        <v>1.0</v>
      </c>
    </row>
    <row r="118" ht="15.75" customHeight="1">
      <c r="A118" s="14" t="s">
        <v>460</v>
      </c>
      <c r="B118" s="14">
        <v>1.0</v>
      </c>
    </row>
    <row r="119" ht="15.75" customHeight="1">
      <c r="A119" s="14" t="s">
        <v>461</v>
      </c>
      <c r="B119" s="14">
        <v>1.0</v>
      </c>
    </row>
    <row r="120" ht="15.75" customHeight="1">
      <c r="A120" s="14" t="s">
        <v>462</v>
      </c>
      <c r="B120" s="14">
        <v>1.0</v>
      </c>
    </row>
    <row r="121" ht="15.75" customHeight="1">
      <c r="A121" s="14" t="s">
        <v>463</v>
      </c>
      <c r="B121" s="14">
        <v>1.0</v>
      </c>
    </row>
    <row r="122" ht="15.75" customHeight="1">
      <c r="A122" s="14" t="s">
        <v>464</v>
      </c>
      <c r="B122" s="14">
        <v>1.0</v>
      </c>
    </row>
    <row r="123" ht="15.75" customHeight="1">
      <c r="A123" s="14" t="s">
        <v>465</v>
      </c>
      <c r="B123" s="14">
        <v>1.0</v>
      </c>
    </row>
    <row r="124" ht="15.75" customHeight="1">
      <c r="A124" s="14" t="s">
        <v>466</v>
      </c>
      <c r="B124" s="14">
        <v>1.0</v>
      </c>
    </row>
    <row r="125" ht="15.75" customHeight="1">
      <c r="A125" s="14" t="s">
        <v>467</v>
      </c>
      <c r="B125" s="14">
        <v>1.0</v>
      </c>
    </row>
    <row r="126" ht="15.75" customHeight="1">
      <c r="A126" s="14" t="s">
        <v>468</v>
      </c>
      <c r="B126" s="14">
        <v>1.0</v>
      </c>
    </row>
    <row r="127" ht="15.75" customHeight="1">
      <c r="A127" s="14" t="s">
        <v>469</v>
      </c>
      <c r="B127" s="14">
        <v>1.0</v>
      </c>
    </row>
    <row r="128" ht="15.75" customHeight="1">
      <c r="A128" s="14" t="s">
        <v>470</v>
      </c>
      <c r="B128" s="14">
        <v>1.0</v>
      </c>
    </row>
    <row r="129" ht="15.75" customHeight="1">
      <c r="A129" s="14" t="s">
        <v>471</v>
      </c>
      <c r="B129" s="14">
        <v>1.0</v>
      </c>
    </row>
    <row r="130" ht="15.75" customHeight="1">
      <c r="A130" s="14" t="s">
        <v>472</v>
      </c>
      <c r="B130" s="14">
        <v>1.0</v>
      </c>
    </row>
    <row r="131" ht="15.75" customHeight="1">
      <c r="A131" s="14" t="s">
        <v>473</v>
      </c>
      <c r="B131" s="14">
        <v>1.0</v>
      </c>
    </row>
    <row r="132" ht="15.75" customHeight="1">
      <c r="A132" s="14" t="s">
        <v>474</v>
      </c>
      <c r="B132" s="14">
        <v>1.0</v>
      </c>
    </row>
    <row r="133" ht="15.75" customHeight="1">
      <c r="A133" s="14" t="s">
        <v>475</v>
      </c>
      <c r="B133" s="14">
        <v>1.0</v>
      </c>
    </row>
    <row r="134" ht="15.75" customHeight="1">
      <c r="A134" s="14" t="s">
        <v>476</v>
      </c>
      <c r="B134" s="14">
        <v>1.0</v>
      </c>
    </row>
    <row r="135" ht="15.75" customHeight="1">
      <c r="A135" s="14" t="s">
        <v>477</v>
      </c>
      <c r="B135" s="14">
        <v>1.0</v>
      </c>
    </row>
    <row r="136" ht="15.75" customHeight="1">
      <c r="A136" s="14" t="s">
        <v>478</v>
      </c>
      <c r="B136" s="14">
        <v>1.0</v>
      </c>
    </row>
    <row r="137" ht="15.75" customHeight="1">
      <c r="A137" s="14" t="s">
        <v>479</v>
      </c>
      <c r="B137" s="14">
        <v>1.0</v>
      </c>
    </row>
    <row r="138" ht="15.75" customHeight="1">
      <c r="A138" s="14" t="s">
        <v>480</v>
      </c>
      <c r="B138" s="14">
        <v>1.0</v>
      </c>
    </row>
    <row r="139" ht="15.75" customHeight="1">
      <c r="A139" s="14" t="s">
        <v>481</v>
      </c>
      <c r="B139" s="14">
        <v>1.0</v>
      </c>
    </row>
    <row r="140" ht="15.75" customHeight="1">
      <c r="A140" s="14" t="s">
        <v>482</v>
      </c>
      <c r="B140" s="14">
        <v>1.0</v>
      </c>
    </row>
    <row r="141" ht="15.75" customHeight="1">
      <c r="A141" s="14" t="s">
        <v>483</v>
      </c>
      <c r="B141" s="14">
        <v>1.0</v>
      </c>
    </row>
    <row r="142" ht="15.75" customHeight="1">
      <c r="A142" s="14" t="s">
        <v>484</v>
      </c>
      <c r="B142" s="14">
        <v>1.0</v>
      </c>
    </row>
    <row r="143" ht="15.75" customHeight="1">
      <c r="A143" s="14" t="s">
        <v>485</v>
      </c>
      <c r="B143" s="14">
        <v>1.0</v>
      </c>
    </row>
    <row r="144" ht="15.75" customHeight="1">
      <c r="A144" s="14" t="s">
        <v>486</v>
      </c>
      <c r="B144" s="14">
        <v>1.0</v>
      </c>
    </row>
    <row r="145" ht="15.75" customHeight="1">
      <c r="A145" s="14" t="s">
        <v>487</v>
      </c>
      <c r="B145" s="14">
        <v>1.0</v>
      </c>
    </row>
    <row r="146" ht="15.75" customHeight="1">
      <c r="A146" s="14" t="s">
        <v>488</v>
      </c>
      <c r="B146" s="14">
        <v>1.0</v>
      </c>
    </row>
    <row r="147" ht="15.75" customHeight="1">
      <c r="A147" s="14" t="s">
        <v>489</v>
      </c>
      <c r="B147" s="14">
        <v>1.0</v>
      </c>
    </row>
    <row r="148" ht="15.75" customHeight="1">
      <c r="A148" s="14" t="s">
        <v>490</v>
      </c>
      <c r="B148" s="14">
        <v>1.0</v>
      </c>
    </row>
    <row r="149" ht="15.75" customHeight="1">
      <c r="A149" s="14" t="s">
        <v>491</v>
      </c>
      <c r="B149" s="14">
        <v>1.0</v>
      </c>
    </row>
    <row r="150" ht="15.75" customHeight="1">
      <c r="A150" s="14" t="s">
        <v>492</v>
      </c>
      <c r="B150" s="14">
        <v>1.0</v>
      </c>
    </row>
    <row r="151" ht="15.75" customHeight="1">
      <c r="A151" s="14" t="s">
        <v>493</v>
      </c>
      <c r="B151" s="14">
        <v>1.0</v>
      </c>
    </row>
    <row r="152" ht="15.75" customHeight="1">
      <c r="A152" s="14" t="s">
        <v>494</v>
      </c>
      <c r="B152" s="14">
        <v>1.0</v>
      </c>
    </row>
    <row r="153" ht="15.75" customHeight="1">
      <c r="A153" s="14" t="s">
        <v>495</v>
      </c>
      <c r="B153" s="14">
        <v>1.0</v>
      </c>
    </row>
    <row r="154" ht="15.75" customHeight="1">
      <c r="A154" s="14" t="s">
        <v>496</v>
      </c>
      <c r="B154" s="14">
        <v>1.0</v>
      </c>
    </row>
    <row r="155" ht="15.75" customHeight="1">
      <c r="A155" s="14" t="s">
        <v>497</v>
      </c>
      <c r="B155" s="14">
        <v>1.0</v>
      </c>
    </row>
    <row r="156" ht="15.75" customHeight="1">
      <c r="A156" s="14" t="s">
        <v>498</v>
      </c>
      <c r="B156" s="14">
        <v>1.0</v>
      </c>
    </row>
    <row r="157" ht="15.75" customHeight="1">
      <c r="A157" s="14" t="s">
        <v>499</v>
      </c>
      <c r="B157" s="14">
        <v>1.0</v>
      </c>
    </row>
    <row r="158" ht="15.75" customHeight="1">
      <c r="A158" s="14" t="s">
        <v>500</v>
      </c>
      <c r="B158" s="14">
        <v>1.0</v>
      </c>
    </row>
    <row r="159" ht="15.75" customHeight="1">
      <c r="A159" s="14" t="s">
        <v>501</v>
      </c>
      <c r="B159" s="14">
        <v>1.0</v>
      </c>
    </row>
    <row r="160" ht="15.75" customHeight="1">
      <c r="A160" s="14" t="s">
        <v>502</v>
      </c>
      <c r="B160" s="14">
        <v>1.0</v>
      </c>
    </row>
    <row r="161" ht="15.75" customHeight="1">
      <c r="A161" s="14" t="s">
        <v>503</v>
      </c>
      <c r="B161" s="14">
        <v>1.0</v>
      </c>
    </row>
    <row r="162" ht="15.75" customHeight="1">
      <c r="A162" s="14" t="s">
        <v>504</v>
      </c>
      <c r="B162" s="14">
        <v>1.0</v>
      </c>
    </row>
    <row r="163" ht="15.75" customHeight="1">
      <c r="A163" s="14" t="s">
        <v>505</v>
      </c>
      <c r="B163" s="14">
        <v>1.0</v>
      </c>
    </row>
    <row r="164" ht="15.75" customHeight="1">
      <c r="A164" s="14" t="s">
        <v>506</v>
      </c>
      <c r="B164" s="14">
        <v>1.0</v>
      </c>
    </row>
    <row r="165" ht="15.75" customHeight="1">
      <c r="A165" s="14" t="s">
        <v>507</v>
      </c>
      <c r="B165" s="14">
        <v>1.0</v>
      </c>
    </row>
    <row r="166" ht="15.75" customHeight="1">
      <c r="A166" s="14" t="s">
        <v>508</v>
      </c>
      <c r="B166" s="14">
        <v>1.0</v>
      </c>
    </row>
    <row r="167" ht="15.75" customHeight="1">
      <c r="A167" s="14" t="s">
        <v>509</v>
      </c>
      <c r="B167" s="14">
        <v>1.0</v>
      </c>
    </row>
    <row r="168" ht="15.75" customHeight="1">
      <c r="A168" s="14" t="s">
        <v>510</v>
      </c>
      <c r="B168" s="14">
        <v>1.0</v>
      </c>
    </row>
    <row r="169" ht="15.75" customHeight="1">
      <c r="A169" s="14" t="s">
        <v>511</v>
      </c>
      <c r="B169" s="14">
        <v>1.0</v>
      </c>
    </row>
    <row r="170" ht="15.75" customHeight="1">
      <c r="A170" s="14" t="s">
        <v>512</v>
      </c>
      <c r="B170" s="14">
        <v>1.0</v>
      </c>
    </row>
    <row r="171" ht="15.75" customHeight="1">
      <c r="A171" s="14" t="s">
        <v>513</v>
      </c>
      <c r="B171" s="14">
        <v>1.0</v>
      </c>
    </row>
    <row r="172" ht="15.75" customHeight="1">
      <c r="A172" s="14" t="s">
        <v>514</v>
      </c>
      <c r="B172" s="14">
        <v>1.0</v>
      </c>
    </row>
    <row r="173" ht="15.75" customHeight="1">
      <c r="A173" s="14" t="s">
        <v>515</v>
      </c>
      <c r="B173" s="14">
        <v>1.0</v>
      </c>
    </row>
    <row r="174" ht="15.75" customHeight="1">
      <c r="A174" s="14" t="s">
        <v>516</v>
      </c>
      <c r="B174" s="14">
        <v>1.0</v>
      </c>
    </row>
    <row r="175" ht="15.75" customHeight="1">
      <c r="A175" s="14" t="s">
        <v>517</v>
      </c>
      <c r="B175" s="14">
        <v>1.0</v>
      </c>
    </row>
    <row r="176" ht="15.75" customHeight="1">
      <c r="A176" s="14" t="s">
        <v>518</v>
      </c>
      <c r="B176" s="14">
        <v>1.0</v>
      </c>
    </row>
    <row r="177" ht="15.75" customHeight="1">
      <c r="A177" s="14" t="s">
        <v>519</v>
      </c>
      <c r="B177" s="14">
        <v>1.0</v>
      </c>
    </row>
    <row r="178" ht="15.75" customHeight="1">
      <c r="A178" s="14" t="s">
        <v>520</v>
      </c>
      <c r="B178" s="14">
        <v>1.0</v>
      </c>
    </row>
    <row r="179" ht="15.75" customHeight="1">
      <c r="A179" s="14" t="s">
        <v>521</v>
      </c>
      <c r="B179" s="14">
        <v>1.0</v>
      </c>
    </row>
    <row r="180" ht="15.75" customHeight="1">
      <c r="A180" s="14" t="s">
        <v>522</v>
      </c>
      <c r="B180" s="14">
        <v>1.0</v>
      </c>
    </row>
    <row r="181" ht="15.75" customHeight="1">
      <c r="A181" s="14" t="s">
        <v>523</v>
      </c>
      <c r="B181" s="14">
        <v>1.0</v>
      </c>
    </row>
    <row r="182" ht="15.75" customHeight="1">
      <c r="A182" s="14" t="s">
        <v>524</v>
      </c>
      <c r="B182" s="14">
        <v>1.0</v>
      </c>
    </row>
    <row r="183" ht="15.75" customHeight="1">
      <c r="A183" s="14" t="s">
        <v>525</v>
      </c>
      <c r="B183" s="14">
        <v>1.0</v>
      </c>
    </row>
    <row r="184" ht="15.75" customHeight="1">
      <c r="A184" s="14" t="s">
        <v>526</v>
      </c>
      <c r="B184" s="14">
        <v>1.0</v>
      </c>
    </row>
    <row r="185" ht="15.75" customHeight="1">
      <c r="A185" s="14" t="s">
        <v>527</v>
      </c>
      <c r="B185" s="14">
        <v>1.0</v>
      </c>
    </row>
    <row r="186" ht="15.75" customHeight="1">
      <c r="A186" s="14" t="s">
        <v>528</v>
      </c>
      <c r="B186" s="14">
        <v>1.0</v>
      </c>
    </row>
    <row r="187" ht="15.75" customHeight="1">
      <c r="A187" s="14" t="s">
        <v>529</v>
      </c>
      <c r="B187" s="14">
        <v>1.0</v>
      </c>
    </row>
    <row r="188" ht="15.75" customHeight="1">
      <c r="A188" s="14" t="s">
        <v>530</v>
      </c>
      <c r="B188" s="14">
        <v>1.0</v>
      </c>
    </row>
    <row r="189" ht="15.75" customHeight="1">
      <c r="A189" s="14" t="s">
        <v>531</v>
      </c>
      <c r="B189" s="14">
        <v>1.0</v>
      </c>
    </row>
    <row r="190" ht="15.75" customHeight="1">
      <c r="A190" s="14" t="s">
        <v>532</v>
      </c>
      <c r="B190" s="14">
        <v>1.0</v>
      </c>
    </row>
    <row r="191" ht="15.75" customHeight="1">
      <c r="A191" s="14" t="s">
        <v>533</v>
      </c>
      <c r="B191" s="14">
        <v>1.0</v>
      </c>
    </row>
    <row r="192" ht="15.75" customHeight="1">
      <c r="A192" s="14" t="s">
        <v>534</v>
      </c>
      <c r="B192" s="14">
        <v>1.0</v>
      </c>
    </row>
    <row r="193" ht="15.75" customHeight="1">
      <c r="A193" s="14" t="s">
        <v>535</v>
      </c>
      <c r="B193" s="14">
        <v>1.0</v>
      </c>
    </row>
    <row r="194" ht="15.75" customHeight="1">
      <c r="A194" s="14" t="s">
        <v>536</v>
      </c>
      <c r="B194" s="14">
        <v>1.0</v>
      </c>
    </row>
    <row r="195" ht="15.75" customHeight="1">
      <c r="A195" s="14" t="s">
        <v>537</v>
      </c>
      <c r="B195" s="14">
        <v>1.0</v>
      </c>
    </row>
    <row r="196" ht="15.75" customHeight="1">
      <c r="A196" s="14" t="s">
        <v>538</v>
      </c>
      <c r="B196" s="14">
        <v>1.0</v>
      </c>
    </row>
    <row r="197" ht="15.75" customHeight="1">
      <c r="A197" s="14" t="s">
        <v>539</v>
      </c>
      <c r="B197" s="14">
        <v>1.0</v>
      </c>
    </row>
    <row r="198" ht="15.75" customHeight="1">
      <c r="A198" s="14" t="s">
        <v>540</v>
      </c>
      <c r="B198" s="14">
        <v>1.0</v>
      </c>
    </row>
    <row r="199" ht="15.75" customHeight="1">
      <c r="A199" s="14" t="s">
        <v>541</v>
      </c>
      <c r="B199" s="14">
        <v>1.0</v>
      </c>
    </row>
    <row r="200" ht="15.75" customHeight="1">
      <c r="A200" s="14" t="s">
        <v>542</v>
      </c>
      <c r="B200" s="14">
        <v>1.0</v>
      </c>
    </row>
    <row r="201" ht="15.75" customHeight="1">
      <c r="A201" s="14" t="s">
        <v>543</v>
      </c>
      <c r="B201" s="14">
        <v>1.0</v>
      </c>
    </row>
    <row r="202" ht="15.75" customHeight="1">
      <c r="A202" s="14" t="s">
        <v>544</v>
      </c>
      <c r="B202" s="14">
        <v>1.0</v>
      </c>
    </row>
    <row r="203" ht="15.75" customHeight="1">
      <c r="A203" s="14" t="s">
        <v>545</v>
      </c>
      <c r="B203" s="14">
        <v>1.0</v>
      </c>
    </row>
    <row r="204" ht="15.75" customHeight="1">
      <c r="A204" s="14" t="s">
        <v>546</v>
      </c>
      <c r="B204" s="14">
        <v>1.0</v>
      </c>
    </row>
    <row r="205" ht="15.75" customHeight="1">
      <c r="A205" s="14" t="s">
        <v>547</v>
      </c>
      <c r="B205" s="14">
        <v>1.0</v>
      </c>
    </row>
    <row r="206" ht="15.75" customHeight="1">
      <c r="A206" s="14" t="s">
        <v>548</v>
      </c>
      <c r="B206" s="14">
        <v>1.0</v>
      </c>
    </row>
    <row r="207" ht="15.75" customHeight="1">
      <c r="A207" s="14" t="s">
        <v>549</v>
      </c>
      <c r="B207" s="14">
        <v>1.0</v>
      </c>
    </row>
    <row r="208" ht="15.75" customHeight="1">
      <c r="A208" s="14" t="s">
        <v>550</v>
      </c>
      <c r="B208" s="14">
        <v>1.0</v>
      </c>
    </row>
    <row r="209" ht="15.75" customHeight="1">
      <c r="A209" s="14" t="s">
        <v>551</v>
      </c>
      <c r="B209" s="14">
        <v>1.0</v>
      </c>
    </row>
    <row r="210" ht="15.75" customHeight="1">
      <c r="A210" s="14" t="s">
        <v>552</v>
      </c>
      <c r="B210" s="14">
        <v>1.0</v>
      </c>
    </row>
    <row r="211" ht="15.75" customHeight="1">
      <c r="A211" s="14" t="s">
        <v>553</v>
      </c>
      <c r="B211" s="14">
        <v>1.0</v>
      </c>
    </row>
    <row r="212" ht="15.75" customHeight="1">
      <c r="A212" s="14" t="s">
        <v>554</v>
      </c>
      <c r="B212" s="14">
        <v>1.0</v>
      </c>
    </row>
    <row r="213" ht="15.75" customHeight="1">
      <c r="A213" s="14" t="s">
        <v>555</v>
      </c>
      <c r="B213" s="14">
        <v>1.0</v>
      </c>
    </row>
    <row r="214" ht="15.75" customHeight="1">
      <c r="A214" s="14" t="s">
        <v>556</v>
      </c>
      <c r="B214" s="14">
        <v>1.0</v>
      </c>
    </row>
    <row r="215" ht="15.75" customHeight="1">
      <c r="A215" s="14" t="s">
        <v>557</v>
      </c>
      <c r="B215" s="14">
        <v>1.0</v>
      </c>
    </row>
    <row r="216" ht="15.75" customHeight="1">
      <c r="A216" s="14" t="s">
        <v>558</v>
      </c>
      <c r="B216" s="14">
        <v>1.0</v>
      </c>
    </row>
    <row r="217" ht="15.75" customHeight="1">
      <c r="A217" s="14" t="s">
        <v>559</v>
      </c>
      <c r="B217" s="14">
        <v>1.0</v>
      </c>
    </row>
    <row r="218" ht="15.75" customHeight="1">
      <c r="A218" s="14" t="s">
        <v>560</v>
      </c>
      <c r="B218" s="14">
        <v>1.0</v>
      </c>
    </row>
    <row r="219" ht="15.75" customHeight="1">
      <c r="A219" s="14" t="s">
        <v>561</v>
      </c>
      <c r="B219" s="14">
        <v>1.0</v>
      </c>
    </row>
    <row r="220" ht="15.75" customHeight="1">
      <c r="A220" s="14" t="s">
        <v>562</v>
      </c>
      <c r="B220" s="14">
        <v>1.0</v>
      </c>
    </row>
    <row r="221" ht="15.75" customHeight="1">
      <c r="A221" s="14" t="s">
        <v>563</v>
      </c>
      <c r="B221" s="14">
        <v>1.0</v>
      </c>
    </row>
    <row r="222" ht="15.75" customHeight="1">
      <c r="A222" s="14" t="s">
        <v>564</v>
      </c>
      <c r="B222" s="14">
        <v>1.0</v>
      </c>
    </row>
    <row r="223" ht="15.75" customHeight="1">
      <c r="A223" s="14" t="s">
        <v>565</v>
      </c>
      <c r="B223" s="14">
        <v>1.0</v>
      </c>
    </row>
    <row r="224" ht="15.75" customHeight="1">
      <c r="A224" s="14" t="s">
        <v>566</v>
      </c>
      <c r="B224" s="14">
        <v>1.0</v>
      </c>
    </row>
    <row r="225" ht="15.75" customHeight="1">
      <c r="A225" s="14" t="s">
        <v>567</v>
      </c>
      <c r="B225" s="14">
        <v>1.0</v>
      </c>
    </row>
    <row r="226" ht="15.75" customHeight="1">
      <c r="A226" s="14" t="s">
        <v>568</v>
      </c>
      <c r="B226" s="14">
        <v>1.0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5" t="s">
        <v>569</v>
      </c>
      <c r="B1" s="16"/>
      <c r="C1" s="17"/>
    </row>
    <row r="3">
      <c r="A3" s="18" t="s">
        <v>1</v>
      </c>
      <c r="B3" s="18" t="s">
        <v>570</v>
      </c>
    </row>
    <row r="4">
      <c r="A4" s="3" t="s">
        <v>17</v>
      </c>
      <c r="B4" s="3">
        <v>51.0</v>
      </c>
    </row>
    <row r="6">
      <c r="A6" s="18" t="s">
        <v>571</v>
      </c>
      <c r="B6" s="18" t="s">
        <v>572</v>
      </c>
    </row>
    <row r="7">
      <c r="A7" s="2" t="s">
        <v>573</v>
      </c>
      <c r="B7" s="5">
        <f>COUNTA('AI + Web Search Data'!A2:A52)</f>
        <v>51</v>
      </c>
    </row>
    <row r="8">
      <c r="A8" s="9" t="s">
        <v>574</v>
      </c>
      <c r="B8" s="11">
        <f>COUNTIF('AI + Web Search Data'!J2:J52, "&gt;0")</f>
        <v>50</v>
      </c>
    </row>
    <row r="9">
      <c r="A9" s="2" t="s">
        <v>575</v>
      </c>
      <c r="B9" s="5">
        <f>SUM('AI + Web Search Data'!J2:J52)</f>
        <v>146</v>
      </c>
    </row>
    <row r="10">
      <c r="A10" s="9" t="s">
        <v>576</v>
      </c>
      <c r="B10" s="11">
        <v>0.0</v>
      </c>
    </row>
    <row r="11">
      <c r="A11" s="2" t="s">
        <v>577</v>
      </c>
      <c r="B11" s="5">
        <v>0.0</v>
      </c>
    </row>
    <row r="12">
      <c r="A12" s="9" t="s">
        <v>578</v>
      </c>
      <c r="B12" s="11">
        <f>ROUND(SUM('AI + Web Search Data'!J2:J52)/COUNTA('AI + Web Search Data'!A2:A52),1)</f>
        <v>2.9</v>
      </c>
    </row>
    <row r="13">
      <c r="A13" s="2" t="s">
        <v>579</v>
      </c>
      <c r="B13" s="5">
        <f>COUNTBLANK('AI + Web Search Data'!D2:D52)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5" t="s">
        <v>580</v>
      </c>
      <c r="B1" s="17"/>
    </row>
    <row r="3" ht="72.0" customHeight="1">
      <c r="A3" s="11" t="s">
        <v>581</v>
      </c>
      <c r="B3" s="4" t="s">
        <v>582</v>
      </c>
    </row>
    <row r="4" ht="72.0" customHeight="1">
      <c r="A4" s="11" t="s">
        <v>583</v>
      </c>
      <c r="B4" s="4" t="s">
        <v>584</v>
      </c>
    </row>
    <row r="5" ht="72.0" customHeight="1">
      <c r="A5" s="11" t="s">
        <v>585</v>
      </c>
      <c r="B5" s="4" t="s">
        <v>586</v>
      </c>
    </row>
    <row r="6" ht="72.0" customHeight="1">
      <c r="A6" s="11" t="s">
        <v>587</v>
      </c>
      <c r="B6" s="4" t="s">
        <v>588</v>
      </c>
    </row>
    <row r="7" ht="72.0" customHeight="1">
      <c r="A7" s="11" t="s">
        <v>589</v>
      </c>
      <c r="B7" s="4" t="s">
        <v>590</v>
      </c>
    </row>
    <row r="8" ht="72.0" customHeight="1">
      <c r="A8" s="11" t="s">
        <v>591</v>
      </c>
      <c r="B8" s="4" t="s">
        <v>592</v>
      </c>
    </row>
    <row r="9" ht="72.0" customHeight="1">
      <c r="A9" s="11" t="s">
        <v>593</v>
      </c>
      <c r="B9" s="4" t="s">
        <v>594</v>
      </c>
    </row>
    <row r="10" ht="72.0" customHeight="1">
      <c r="A10" s="11" t="s">
        <v>595</v>
      </c>
      <c r="B10" s="4" t="s">
        <v>596</v>
      </c>
    </row>
    <row r="11" ht="72.0" customHeight="1">
      <c r="A11" s="11" t="s">
        <v>597</v>
      </c>
      <c r="B11" s="4" t="s">
        <v>598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19" t="s">
        <v>599</v>
      </c>
    </row>
    <row r="2" ht="42.0" customHeight="1">
      <c r="A2" s="20" t="s">
        <v>600</v>
      </c>
      <c r="B2" s="16"/>
      <c r="C2" s="16"/>
      <c r="D2" s="16"/>
      <c r="E2" s="16"/>
      <c r="F2" s="16"/>
      <c r="G2" s="17"/>
    </row>
    <row r="3" ht="27.75" customHeight="1">
      <c r="A3" s="20" t="s">
        <v>601</v>
      </c>
      <c r="B3" s="16"/>
      <c r="C3" s="16"/>
      <c r="D3" s="16"/>
      <c r="E3" s="16"/>
      <c r="F3" s="16"/>
      <c r="G3" s="17"/>
    </row>
    <row r="5">
      <c r="A5" s="21" t="s">
        <v>0</v>
      </c>
      <c r="B5" s="21" t="s">
        <v>602</v>
      </c>
      <c r="C5" s="21" t="s">
        <v>3</v>
      </c>
      <c r="D5" s="21" t="s">
        <v>4</v>
      </c>
      <c r="E5" s="21" t="s">
        <v>603</v>
      </c>
      <c r="F5" s="21" t="s">
        <v>604</v>
      </c>
      <c r="G5" s="21" t="s">
        <v>605</v>
      </c>
    </row>
    <row r="6">
      <c r="A6" s="22" t="s">
        <v>96</v>
      </c>
      <c r="B6" s="22" t="s">
        <v>606</v>
      </c>
      <c r="C6" s="22">
        <v>6.75</v>
      </c>
      <c r="D6" s="22">
        <v>18.56</v>
      </c>
      <c r="E6" s="22" t="s">
        <v>607</v>
      </c>
      <c r="F6" s="22" t="s">
        <v>608</v>
      </c>
      <c r="G6" s="22" t="s">
        <v>609</v>
      </c>
    </row>
    <row r="7">
      <c r="A7" s="22" t="s">
        <v>89</v>
      </c>
      <c r="B7" s="22" t="s">
        <v>610</v>
      </c>
      <c r="C7" s="22">
        <v>6.0</v>
      </c>
      <c r="D7" s="22">
        <v>17.17</v>
      </c>
      <c r="E7" s="22" t="s">
        <v>611</v>
      </c>
      <c r="F7" s="22" t="s">
        <v>612</v>
      </c>
      <c r="G7" s="22" t="s">
        <v>609</v>
      </c>
    </row>
    <row r="8">
      <c r="A8" s="22" t="s">
        <v>76</v>
      </c>
      <c r="B8" s="22" t="s">
        <v>613</v>
      </c>
      <c r="C8" s="22">
        <v>6.2</v>
      </c>
      <c r="D8" s="22">
        <v>16.84</v>
      </c>
      <c r="E8" s="22" t="s">
        <v>611</v>
      </c>
      <c r="F8" s="22" t="s">
        <v>614</v>
      </c>
      <c r="G8" s="22" t="s">
        <v>615</v>
      </c>
    </row>
    <row r="9">
      <c r="A9" s="22" t="s">
        <v>117</v>
      </c>
      <c r="B9" s="22" t="s">
        <v>616</v>
      </c>
      <c r="C9" s="22">
        <v>6.75</v>
      </c>
      <c r="D9" s="22">
        <v>13.45</v>
      </c>
      <c r="E9" s="22" t="s">
        <v>611</v>
      </c>
      <c r="F9" s="22" t="s">
        <v>614</v>
      </c>
      <c r="G9" s="22" t="s">
        <v>609</v>
      </c>
    </row>
    <row r="10">
      <c r="A10" s="22" t="s">
        <v>155</v>
      </c>
      <c r="B10" s="22" t="s">
        <v>617</v>
      </c>
      <c r="C10" s="22">
        <v>7.37</v>
      </c>
      <c r="D10" s="22">
        <v>40.99</v>
      </c>
      <c r="E10" s="22" t="s">
        <v>618</v>
      </c>
      <c r="F10" s="22"/>
      <c r="G10" s="22" t="s">
        <v>619</v>
      </c>
    </row>
    <row r="11">
      <c r="A11" s="22" t="s">
        <v>182</v>
      </c>
      <c r="B11" s="22" t="s">
        <v>620</v>
      </c>
      <c r="C11" s="22">
        <v>6.37</v>
      </c>
      <c r="D11" s="22">
        <v>32.54</v>
      </c>
      <c r="E11" s="22" t="s">
        <v>618</v>
      </c>
      <c r="F11" s="22"/>
      <c r="G11" s="22" t="s">
        <v>619</v>
      </c>
    </row>
    <row r="12">
      <c r="A12" s="22" t="s">
        <v>207</v>
      </c>
      <c r="B12" s="22" t="s">
        <v>621</v>
      </c>
      <c r="C12" s="22">
        <v>4.6</v>
      </c>
      <c r="D12" s="22">
        <v>9.1</v>
      </c>
      <c r="E12" s="22" t="s">
        <v>618</v>
      </c>
      <c r="F12" s="22"/>
      <c r="G12" s="22" t="s">
        <v>619</v>
      </c>
    </row>
    <row r="13">
      <c r="A13" s="22" t="s">
        <v>174</v>
      </c>
      <c r="B13" s="22" t="s">
        <v>622</v>
      </c>
      <c r="C13" s="22">
        <v>9.71</v>
      </c>
      <c r="D13" s="22">
        <v>29.34</v>
      </c>
      <c r="E13" s="22" t="s">
        <v>623</v>
      </c>
      <c r="F13" s="22" t="s">
        <v>624</v>
      </c>
      <c r="G13" s="22" t="s">
        <v>615</v>
      </c>
    </row>
    <row r="14">
      <c r="A14" s="22" t="s">
        <v>232</v>
      </c>
      <c r="B14" s="22" t="s">
        <v>625</v>
      </c>
      <c r="C14" s="22">
        <v>5.95</v>
      </c>
      <c r="D14" s="22">
        <v>16.09</v>
      </c>
      <c r="E14" s="22" t="s">
        <v>618</v>
      </c>
      <c r="F14" s="22"/>
      <c r="G14" s="22" t="s">
        <v>619</v>
      </c>
    </row>
    <row r="15">
      <c r="A15" s="22" t="s">
        <v>218</v>
      </c>
      <c r="B15" s="22" t="s">
        <v>626</v>
      </c>
      <c r="C15" s="22">
        <v>6.2</v>
      </c>
      <c r="D15" s="22">
        <v>16.29</v>
      </c>
      <c r="E15" s="22" t="s">
        <v>611</v>
      </c>
      <c r="F15" s="22" t="s">
        <v>612</v>
      </c>
      <c r="G15" s="22" t="s">
        <v>615</v>
      </c>
    </row>
    <row r="16">
      <c r="A16" s="22" t="s">
        <v>255</v>
      </c>
      <c r="B16" s="22" t="s">
        <v>627</v>
      </c>
      <c r="C16" s="22">
        <v>6.9</v>
      </c>
      <c r="D16" s="22">
        <v>15.9</v>
      </c>
      <c r="E16" s="22" t="s">
        <v>623</v>
      </c>
      <c r="F16" s="22" t="s">
        <v>624</v>
      </c>
      <c r="G16" s="22" t="s">
        <v>615</v>
      </c>
    </row>
    <row r="17">
      <c r="A17" s="22" t="s">
        <v>242</v>
      </c>
      <c r="B17" s="22" t="s">
        <v>628</v>
      </c>
      <c r="C17" s="22">
        <v>5.95</v>
      </c>
      <c r="D17" s="22">
        <v>16.09</v>
      </c>
      <c r="E17" s="22" t="s">
        <v>611</v>
      </c>
      <c r="F17" s="22" t="s">
        <v>614</v>
      </c>
      <c r="G17" s="22" t="s">
        <v>615</v>
      </c>
    </row>
    <row r="18">
      <c r="A18" s="22" t="s">
        <v>267</v>
      </c>
      <c r="B18" s="22" t="s">
        <v>629</v>
      </c>
      <c r="C18" s="22">
        <v>5.95</v>
      </c>
      <c r="D18" s="22">
        <v>16.09</v>
      </c>
      <c r="E18" s="22" t="s">
        <v>611</v>
      </c>
      <c r="F18" s="22" t="s">
        <v>612</v>
      </c>
      <c r="G18" s="22" t="s">
        <v>615</v>
      </c>
    </row>
    <row r="19">
      <c r="A19" s="22" t="s">
        <v>262</v>
      </c>
      <c r="B19" s="22" t="s">
        <v>630</v>
      </c>
      <c r="C19" s="22">
        <v>5.95</v>
      </c>
      <c r="D19" s="22">
        <v>17.15</v>
      </c>
      <c r="E19" s="22" t="s">
        <v>607</v>
      </c>
      <c r="F19" s="22" t="s">
        <v>631</v>
      </c>
      <c r="G19" s="22" t="s">
        <v>615</v>
      </c>
    </row>
    <row r="20">
      <c r="A20" s="22" t="s">
        <v>272</v>
      </c>
      <c r="B20" s="22" t="s">
        <v>632</v>
      </c>
      <c r="C20" s="22">
        <v>5.95</v>
      </c>
      <c r="D20" s="22">
        <v>16.09</v>
      </c>
      <c r="E20" s="22" t="s">
        <v>611</v>
      </c>
      <c r="F20" s="22" t="s">
        <v>614</v>
      </c>
      <c r="G20" s="22" t="s">
        <v>615</v>
      </c>
    </row>
    <row r="21" ht="15.75" customHeight="1">
      <c r="A21" s="22" t="s">
        <v>289</v>
      </c>
      <c r="B21" s="22" t="s">
        <v>633</v>
      </c>
      <c r="C21" s="22">
        <v>8.4</v>
      </c>
      <c r="D21" s="22">
        <v>25.95</v>
      </c>
      <c r="E21" s="22" t="s">
        <v>618</v>
      </c>
      <c r="F21" s="22"/>
      <c r="G21" s="22" t="s">
        <v>619</v>
      </c>
    </row>
    <row r="22" ht="15.75" customHeight="1">
      <c r="A22" s="22" t="s">
        <v>295</v>
      </c>
      <c r="B22" s="22" t="s">
        <v>634</v>
      </c>
      <c r="C22" s="22">
        <v>7.45</v>
      </c>
      <c r="D22" s="22">
        <v>16.08</v>
      </c>
      <c r="E22" s="22" t="s">
        <v>611</v>
      </c>
      <c r="F22" s="22" t="s">
        <v>612</v>
      </c>
      <c r="G22" s="22" t="s">
        <v>615</v>
      </c>
    </row>
    <row r="23" ht="15.75" customHeight="1">
      <c r="A23" s="22" t="s">
        <v>300</v>
      </c>
      <c r="B23" s="22" t="s">
        <v>635</v>
      </c>
      <c r="C23" s="22">
        <v>5.95</v>
      </c>
      <c r="D23" s="22">
        <v>17.43</v>
      </c>
      <c r="E23" s="22" t="s">
        <v>611</v>
      </c>
      <c r="F23" s="22" t="s">
        <v>612</v>
      </c>
      <c r="G23" s="22" t="s">
        <v>615</v>
      </c>
    </row>
    <row r="24" ht="15.75" customHeight="1">
      <c r="A24" s="22" t="s">
        <v>228</v>
      </c>
      <c r="B24" s="22" t="s">
        <v>636</v>
      </c>
      <c r="C24" s="22">
        <v>5.95</v>
      </c>
      <c r="D24" s="22">
        <v>16.09</v>
      </c>
      <c r="E24" s="22" t="s">
        <v>611</v>
      </c>
      <c r="F24" s="22" t="s">
        <v>614</v>
      </c>
      <c r="G24" s="22" t="s">
        <v>615</v>
      </c>
    </row>
    <row r="25" ht="15.75" customHeight="1">
      <c r="A25" s="22" t="s">
        <v>305</v>
      </c>
      <c r="B25" s="22" t="s">
        <v>637</v>
      </c>
      <c r="C25" s="22">
        <v>7.51</v>
      </c>
      <c r="D25" s="22">
        <v>28.58</v>
      </c>
      <c r="E25" s="22" t="s">
        <v>618</v>
      </c>
      <c r="F25" s="22"/>
      <c r="G25" s="22" t="s">
        <v>619</v>
      </c>
    </row>
    <row r="26" ht="15.75" customHeight="1">
      <c r="A26" s="22" t="s">
        <v>312</v>
      </c>
      <c r="B26" s="22" t="s">
        <v>638</v>
      </c>
      <c r="C26" s="22">
        <v>14.82</v>
      </c>
      <c r="D26" s="22">
        <v>29.27</v>
      </c>
      <c r="E26" s="22" t="s">
        <v>618</v>
      </c>
      <c r="F26" s="22"/>
      <c r="G26" s="22" t="s">
        <v>619</v>
      </c>
    </row>
    <row r="27" ht="15.75" customHeight="1">
      <c r="A27" s="22" t="s">
        <v>40</v>
      </c>
      <c r="B27" s="22" t="s">
        <v>639</v>
      </c>
      <c r="C27" s="22"/>
      <c r="D27" s="22"/>
      <c r="E27" s="22" t="s">
        <v>618</v>
      </c>
      <c r="F27" s="22"/>
      <c r="G27" s="22" t="s">
        <v>640</v>
      </c>
    </row>
    <row r="28" ht="15.75" customHeight="1">
      <c r="A28" s="22" t="s">
        <v>327</v>
      </c>
      <c r="B28" s="22" t="s">
        <v>641</v>
      </c>
      <c r="C28" s="22">
        <v>5.95</v>
      </c>
      <c r="D28" s="22">
        <v>16.09</v>
      </c>
      <c r="E28" s="22" t="s">
        <v>607</v>
      </c>
      <c r="F28" s="22" t="s">
        <v>642</v>
      </c>
      <c r="G28" s="22" t="s">
        <v>615</v>
      </c>
    </row>
    <row r="29" ht="15.75" customHeight="1">
      <c r="A29" s="22" t="s">
        <v>49</v>
      </c>
      <c r="B29" s="22" t="s">
        <v>643</v>
      </c>
      <c r="C29" s="22">
        <v>7.5</v>
      </c>
      <c r="D29" s="22">
        <v>29.99</v>
      </c>
      <c r="E29" s="22" t="s">
        <v>607</v>
      </c>
      <c r="F29" s="22" t="s">
        <v>631</v>
      </c>
      <c r="G29" s="22" t="s">
        <v>615</v>
      </c>
    </row>
    <row r="30" ht="15.75" customHeight="1">
      <c r="A30" s="22" t="s">
        <v>16</v>
      </c>
      <c r="B30" s="22" t="s">
        <v>644</v>
      </c>
      <c r="C30" s="22">
        <v>11.15</v>
      </c>
      <c r="D30" s="22">
        <v>29.5</v>
      </c>
      <c r="E30" s="22" t="s">
        <v>611</v>
      </c>
      <c r="F30" s="22" t="s">
        <v>614</v>
      </c>
      <c r="G30" s="22" t="s">
        <v>609</v>
      </c>
    </row>
    <row r="31" ht="15.75" customHeight="1">
      <c r="A31" s="22" t="s">
        <v>58</v>
      </c>
      <c r="B31" s="22" t="s">
        <v>638</v>
      </c>
      <c r="C31" s="22">
        <v>14.82</v>
      </c>
      <c r="D31" s="22">
        <v>29.27</v>
      </c>
      <c r="E31" s="22" t="s">
        <v>618</v>
      </c>
      <c r="F31" s="22"/>
      <c r="G31" s="22" t="s">
        <v>619</v>
      </c>
    </row>
    <row r="32" ht="15.75" customHeight="1">
      <c r="A32" s="22" t="s">
        <v>148</v>
      </c>
      <c r="B32" s="22" t="s">
        <v>645</v>
      </c>
      <c r="C32" s="22">
        <v>4.9</v>
      </c>
      <c r="D32" s="22">
        <v>27.22</v>
      </c>
      <c r="E32" s="22" t="s">
        <v>611</v>
      </c>
      <c r="F32" s="22" t="s">
        <v>614</v>
      </c>
      <c r="G32" s="22" t="s">
        <v>615</v>
      </c>
    </row>
    <row r="33" ht="15.75" customHeight="1">
      <c r="A33" s="22" t="s">
        <v>123</v>
      </c>
      <c r="B33" s="22" t="s">
        <v>646</v>
      </c>
      <c r="C33" s="22">
        <v>6.75</v>
      </c>
      <c r="D33" s="22">
        <v>14.75</v>
      </c>
      <c r="E33" s="22" t="s">
        <v>623</v>
      </c>
      <c r="F33" s="22" t="s">
        <v>624</v>
      </c>
      <c r="G33" s="22" t="s">
        <v>615</v>
      </c>
    </row>
    <row r="34" ht="15.75" customHeight="1">
      <c r="A34" s="22" t="s">
        <v>166</v>
      </c>
      <c r="B34" s="22" t="s">
        <v>647</v>
      </c>
      <c r="C34" s="22">
        <v>6.65</v>
      </c>
      <c r="D34" s="22">
        <v>7.18</v>
      </c>
      <c r="E34" s="22" t="s">
        <v>618</v>
      </c>
      <c r="F34" s="22"/>
      <c r="G34" s="22" t="s">
        <v>619</v>
      </c>
    </row>
    <row r="35" ht="15.75" customHeight="1">
      <c r="A35" s="22" t="s">
        <v>82</v>
      </c>
      <c r="B35" s="22" t="s">
        <v>648</v>
      </c>
      <c r="C35" s="22">
        <v>6.2</v>
      </c>
      <c r="D35" s="22">
        <v>16.34</v>
      </c>
      <c r="E35" s="22" t="s">
        <v>607</v>
      </c>
      <c r="F35" s="22" t="s">
        <v>631</v>
      </c>
      <c r="G35" s="22" t="s">
        <v>615</v>
      </c>
    </row>
    <row r="36" ht="15.75" customHeight="1">
      <c r="A36" s="22" t="s">
        <v>30</v>
      </c>
      <c r="B36" s="22" t="s">
        <v>649</v>
      </c>
      <c r="C36" s="22">
        <v>6.2</v>
      </c>
      <c r="D36" s="22">
        <v>16.34</v>
      </c>
      <c r="E36" s="22" t="s">
        <v>607</v>
      </c>
      <c r="F36" s="22" t="s">
        <v>631</v>
      </c>
      <c r="G36" s="22" t="s">
        <v>615</v>
      </c>
    </row>
    <row r="37" ht="15.75" customHeight="1">
      <c r="A37" s="22" t="s">
        <v>103</v>
      </c>
      <c r="B37" s="22" t="s">
        <v>625</v>
      </c>
      <c r="C37" s="22">
        <v>5.95</v>
      </c>
      <c r="D37" s="22">
        <v>16.09</v>
      </c>
      <c r="E37" s="22" t="s">
        <v>623</v>
      </c>
      <c r="F37" s="22" t="s">
        <v>650</v>
      </c>
      <c r="G37" s="22" t="s">
        <v>609</v>
      </c>
    </row>
    <row r="38" ht="15.75" customHeight="1">
      <c r="A38" s="22" t="s">
        <v>111</v>
      </c>
      <c r="B38" s="22" t="s">
        <v>651</v>
      </c>
      <c r="C38" s="22">
        <v>5.95</v>
      </c>
      <c r="D38" s="22">
        <v>16.09</v>
      </c>
      <c r="E38" s="22" t="s">
        <v>611</v>
      </c>
      <c r="F38" s="22" t="s">
        <v>614</v>
      </c>
      <c r="G38" s="22" t="s">
        <v>615</v>
      </c>
    </row>
    <row r="39" ht="15.75" customHeight="1">
      <c r="A39" s="22" t="s">
        <v>130</v>
      </c>
      <c r="B39" s="22" t="s">
        <v>652</v>
      </c>
      <c r="C39" s="22">
        <v>5.95</v>
      </c>
      <c r="D39" s="22">
        <v>16.09</v>
      </c>
      <c r="E39" s="22" t="s">
        <v>611</v>
      </c>
      <c r="F39" s="22" t="s">
        <v>612</v>
      </c>
      <c r="G39" s="22" t="s">
        <v>615</v>
      </c>
    </row>
    <row r="40" ht="15.75" customHeight="1">
      <c r="A40" s="22" t="s">
        <v>136</v>
      </c>
      <c r="B40" s="22" t="s">
        <v>653</v>
      </c>
      <c r="C40" s="22">
        <v>6.4</v>
      </c>
      <c r="D40" s="22">
        <v>15.1</v>
      </c>
      <c r="E40" s="22" t="s">
        <v>623</v>
      </c>
      <c r="F40" s="22" t="s">
        <v>624</v>
      </c>
      <c r="G40" s="22" t="s">
        <v>615</v>
      </c>
    </row>
    <row r="41" ht="15.75" customHeight="1">
      <c r="A41" s="22" t="s">
        <v>143</v>
      </c>
      <c r="B41" s="22" t="s">
        <v>654</v>
      </c>
      <c r="C41" s="22">
        <v>6.7</v>
      </c>
      <c r="D41" s="22">
        <v>16.84</v>
      </c>
      <c r="E41" s="22" t="s">
        <v>611</v>
      </c>
      <c r="F41" s="22" t="s">
        <v>612</v>
      </c>
      <c r="G41" s="22" t="s">
        <v>615</v>
      </c>
    </row>
    <row r="42" ht="15.75" customHeight="1">
      <c r="A42" s="22" t="s">
        <v>188</v>
      </c>
      <c r="B42" s="22" t="s">
        <v>655</v>
      </c>
      <c r="C42" s="22">
        <v>6.84</v>
      </c>
      <c r="D42" s="22">
        <v>16.34</v>
      </c>
      <c r="E42" s="22" t="s">
        <v>611</v>
      </c>
      <c r="F42" s="22" t="s">
        <v>614</v>
      </c>
      <c r="G42" s="22" t="s">
        <v>615</v>
      </c>
    </row>
    <row r="43" ht="15.75" customHeight="1">
      <c r="A43" s="22" t="s">
        <v>196</v>
      </c>
      <c r="B43" s="22" t="s">
        <v>656</v>
      </c>
      <c r="C43" s="22">
        <v>6.2</v>
      </c>
      <c r="D43" s="22">
        <v>17.15</v>
      </c>
      <c r="E43" s="22" t="s">
        <v>607</v>
      </c>
      <c r="F43" s="22" t="s">
        <v>631</v>
      </c>
      <c r="G43" s="22" t="s">
        <v>615</v>
      </c>
    </row>
    <row r="44" ht="15.75" customHeight="1">
      <c r="A44" s="22" t="s">
        <v>213</v>
      </c>
      <c r="B44" s="22" t="s">
        <v>657</v>
      </c>
      <c r="C44" s="22">
        <v>6.2</v>
      </c>
      <c r="D44" s="22">
        <v>16.34</v>
      </c>
      <c r="E44" s="22" t="s">
        <v>607</v>
      </c>
      <c r="F44" s="22" t="s">
        <v>631</v>
      </c>
      <c r="G44" s="22" t="s">
        <v>615</v>
      </c>
    </row>
    <row r="45" ht="15.75" customHeight="1">
      <c r="A45" s="22" t="s">
        <v>223</v>
      </c>
      <c r="B45" s="22" t="s">
        <v>658</v>
      </c>
      <c r="C45" s="22">
        <v>6.95</v>
      </c>
      <c r="D45" s="22">
        <v>17.34</v>
      </c>
      <c r="E45" s="22" t="s">
        <v>611</v>
      </c>
      <c r="F45" s="22" t="s">
        <v>614</v>
      </c>
      <c r="G45" s="22" t="s">
        <v>615</v>
      </c>
    </row>
    <row r="46" ht="15.75" customHeight="1">
      <c r="A46" s="22" t="s">
        <v>249</v>
      </c>
      <c r="B46" s="22" t="s">
        <v>659</v>
      </c>
      <c r="C46" s="22">
        <v>5.45</v>
      </c>
      <c r="D46" s="22">
        <v>10.3</v>
      </c>
      <c r="E46" s="22" t="s">
        <v>623</v>
      </c>
      <c r="F46" s="22" t="s">
        <v>624</v>
      </c>
      <c r="G46" s="22" t="s">
        <v>615</v>
      </c>
    </row>
    <row r="47" ht="15.75" customHeight="1">
      <c r="A47" s="22" t="s">
        <v>236</v>
      </c>
      <c r="B47" s="22" t="s">
        <v>660</v>
      </c>
      <c r="C47" s="22">
        <v>6.4</v>
      </c>
      <c r="D47" s="22">
        <v>16.95</v>
      </c>
      <c r="E47" s="22" t="s">
        <v>611</v>
      </c>
      <c r="F47" s="22" t="s">
        <v>614</v>
      </c>
      <c r="G47" s="22" t="s">
        <v>615</v>
      </c>
    </row>
    <row r="48" ht="15.75" customHeight="1">
      <c r="A48" s="22" t="s">
        <v>276</v>
      </c>
      <c r="B48" s="22" t="s">
        <v>661</v>
      </c>
      <c r="C48" s="22">
        <v>5.67</v>
      </c>
      <c r="D48" s="22">
        <v>10.91</v>
      </c>
      <c r="E48" s="22" t="s">
        <v>611</v>
      </c>
      <c r="F48" s="22" t="s">
        <v>612</v>
      </c>
      <c r="G48" s="22" t="s">
        <v>609</v>
      </c>
    </row>
    <row r="49" ht="15.75" customHeight="1">
      <c r="A49" s="22" t="s">
        <v>283</v>
      </c>
      <c r="B49" s="22" t="s">
        <v>662</v>
      </c>
      <c r="C49" s="22">
        <v>6.2</v>
      </c>
      <c r="D49" s="22">
        <v>16.34</v>
      </c>
      <c r="E49" s="22" t="s">
        <v>607</v>
      </c>
      <c r="F49" s="22" t="s">
        <v>631</v>
      </c>
      <c r="G49" s="22" t="s">
        <v>615</v>
      </c>
    </row>
    <row r="50" ht="15.75" customHeight="1">
      <c r="A50" s="22" t="s">
        <v>317</v>
      </c>
      <c r="B50" s="22" t="s">
        <v>663</v>
      </c>
      <c r="C50" s="22">
        <v>6.2</v>
      </c>
      <c r="D50" s="22">
        <v>16.34</v>
      </c>
      <c r="E50" s="22" t="s">
        <v>611</v>
      </c>
      <c r="F50" s="22" t="s">
        <v>614</v>
      </c>
      <c r="G50" s="22" t="s">
        <v>615</v>
      </c>
    </row>
    <row r="51" ht="15.75" customHeight="1">
      <c r="A51" s="22" t="s">
        <v>323</v>
      </c>
      <c r="B51" s="22" t="s">
        <v>625</v>
      </c>
      <c r="C51" s="22">
        <v>5.95</v>
      </c>
      <c r="D51" s="22">
        <v>16.09</v>
      </c>
      <c r="E51" s="22" t="s">
        <v>618</v>
      </c>
      <c r="F51" s="22"/>
      <c r="G51" s="22" t="s">
        <v>619</v>
      </c>
    </row>
    <row r="52" ht="15.75" customHeight="1">
      <c r="A52" s="22" t="s">
        <v>332</v>
      </c>
      <c r="B52" s="22" t="s">
        <v>664</v>
      </c>
      <c r="C52" s="22">
        <v>6.18</v>
      </c>
      <c r="D52" s="22">
        <v>14.7</v>
      </c>
      <c r="E52" s="22" t="s">
        <v>623</v>
      </c>
      <c r="F52" s="22" t="s">
        <v>624</v>
      </c>
      <c r="G52" s="22" t="s">
        <v>615</v>
      </c>
    </row>
    <row r="53" ht="15.75" customHeight="1">
      <c r="A53" s="22" t="s">
        <v>336</v>
      </c>
      <c r="B53" s="22" t="s">
        <v>665</v>
      </c>
      <c r="C53" s="22">
        <v>5.45</v>
      </c>
      <c r="D53" s="22">
        <v>15.59</v>
      </c>
      <c r="E53" s="22" t="s">
        <v>611</v>
      </c>
      <c r="F53" s="22" t="s">
        <v>612</v>
      </c>
      <c r="G53" s="22" t="s">
        <v>615</v>
      </c>
    </row>
    <row r="54" ht="15.75" customHeight="1">
      <c r="A54" s="22" t="s">
        <v>201</v>
      </c>
      <c r="B54" s="22" t="s">
        <v>666</v>
      </c>
      <c r="C54" s="22">
        <v>6.63</v>
      </c>
      <c r="D54" s="22">
        <v>16.02</v>
      </c>
      <c r="E54" s="22" t="s">
        <v>611</v>
      </c>
      <c r="F54" s="22" t="s">
        <v>612</v>
      </c>
      <c r="G54" s="22" t="s">
        <v>609</v>
      </c>
    </row>
    <row r="55" ht="15.75" customHeight="1">
      <c r="A55" s="22" t="s">
        <v>68</v>
      </c>
      <c r="B55" s="22" t="s">
        <v>667</v>
      </c>
      <c r="C55" s="22">
        <v>7.9</v>
      </c>
      <c r="D55" s="22">
        <v>18.91</v>
      </c>
      <c r="E55" s="22" t="s">
        <v>611</v>
      </c>
      <c r="F55" s="22" t="s">
        <v>612</v>
      </c>
      <c r="G55" s="22" t="s">
        <v>615</v>
      </c>
    </row>
    <row r="56" ht="15.75" customHeight="1">
      <c r="A56" s="22" t="s">
        <v>161</v>
      </c>
      <c r="B56" s="22"/>
      <c r="C56" s="22"/>
      <c r="D56" s="22"/>
      <c r="E56" s="22" t="s">
        <v>618</v>
      </c>
      <c r="F56" s="22"/>
      <c r="G56" s="22" t="s">
        <v>640</v>
      </c>
    </row>
    <row r="57" ht="15.75" customHeight="1"/>
    <row r="58" ht="15.75" customHeight="1">
      <c r="A58" s="23" t="s">
        <v>668</v>
      </c>
    </row>
    <row r="59" ht="15.75" customHeight="1">
      <c r="A59" s="14" t="s">
        <v>611</v>
      </c>
      <c r="B59" s="14">
        <v>23.0</v>
      </c>
    </row>
    <row r="60" ht="15.75" customHeight="1">
      <c r="A60" s="14" t="s">
        <v>607</v>
      </c>
      <c r="B60" s="14">
        <v>9.0</v>
      </c>
    </row>
    <row r="61" ht="15.75" customHeight="1">
      <c r="A61" s="14" t="s">
        <v>623</v>
      </c>
      <c r="B61" s="14">
        <v>7.0</v>
      </c>
    </row>
    <row r="62" ht="15.75" customHeight="1">
      <c r="A62" s="14" t="s">
        <v>618</v>
      </c>
      <c r="B62" s="14">
        <v>12.0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paperSize="9" orientation="portrait"/>
  <drawing r:id="rId1"/>
</worksheet>
</file>