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 Web Search Data" sheetId="1" r:id="rId5"/>
    <sheet state="visible" name="Citation Sources" sheetId="2" r:id="rId6"/>
    <sheet state="visible" name="Summary Stats" sheetId="3" r:id="rId7"/>
    <sheet state="visible" name="Methodology" sheetId="4" r:id="rId8"/>
    <sheet state="visible" name="APR Classification" sheetId="5" r:id="rId9"/>
  </sheets>
  <definedNames>
    <definedName hidden="1" localSheetId="0" name="_xlnm._FilterDatabase">'AI + Web Search Data'!$A$1:$P$1</definedName>
    <definedName hidden="1" localSheetId="1" name="_xlnm._FilterDatabase">'Citation Sources'!$A$1:$B$1</definedName>
  </definedNames>
  <calcPr/>
</workbook>
</file>

<file path=xl/sharedStrings.xml><?xml version="1.0" encoding="utf-8"?>
<sst xmlns="http://schemas.openxmlformats.org/spreadsheetml/2006/main" count="890" uniqueCount="431">
  <si>
    <t>Bank</t>
  </si>
  <si>
    <t>Product Type</t>
  </si>
  <si>
    <t>Product Page URL</t>
  </si>
  <si>
    <t>Min APR</t>
  </si>
  <si>
    <t>Max APR</t>
  </si>
  <si>
    <t>Max Loan Amount</t>
  </si>
  <si>
    <t>Min Loan Amount</t>
  </si>
  <si>
    <t>Min Age</t>
  </si>
  <si>
    <t>Max Term</t>
  </si>
  <si>
    <t>Searches Run</t>
  </si>
  <si>
    <t>Search Queries
(NOT EXPOSED by Perplexity)</t>
  </si>
  <si>
    <t>Cited URLs
(shaped the answer)</t>
  </si>
  <si>
    <t>Cited Snippets</t>
  </si>
  <si>
    <t>All Result URLs
(returned by search engine)</t>
  </si>
  <si>
    <t>Notes</t>
  </si>
  <si>
    <t>Data Source</t>
  </si>
  <si>
    <t>Avida Finans AB</t>
  </si>
  <si>
    <t>consumer_loan</t>
  </si>
  <si>
    <t>https://www.avidafinance.com</t>
  </si>
  <si>
    <t>unknown</t>
  </si>
  <si>
    <t>(Perplexity does not expose
the search query strings.)</t>
  </si>
  <si>
    <t>https://pickthebank.eu/banks/sweden/avida-finans-ab-publ-affnfi21/
https://qonto.com/en/swift-codes/countries/finland/espoo/avida-finans-ab-filial-i-finland
https://www.avidafinance.com/no
https://www.avidafinance.com
https://www.avidafinance.com/en
https://www.fi.se/en/our-registers/prospektregistret/GetFile?id=24-18639&amp;format=application%2Fpdf&amp;name=24-18639.pdf
https://avarda.com</t>
  </si>
  <si>
    <t>(Perplexity exposes cited URLs
and snippets per source.)</t>
  </si>
  <si>
    <t xml:space="preserve">Avida Finans AB offers unsecured consumer loans (Privatlån) as part of its retail products; contact konsument@avida.se for details. No specific lending terms found in search results. Official site in </t>
  </si>
  <si>
    <t>Perplexity Sonar (built-in web search)</t>
  </si>
  <si>
    <t>Bjursås Sparbank</t>
  </si>
  <si>
    <t>https://thebanks.eu/banks/17521
https://support.apple.com/en-us/109516
https://gupea.ub.gu.se/bitstreams/c1d131e5-69f5-4662-893c-2b1d4e13ee73/download
https://ereg.ifms.go.ug/application_search_search.php
https://www.bde.es/webbe/en/estadisticas/otras-clasificaciones/clasificacion-entidades/listas-instituciones-financieras/listas-instituciones-financieras-monetarias-pais/lista-mfi-se.html</t>
  </si>
  <si>
    <t>Search results do not include official product pages or specific consumer lending terms for Bjursås Sparbank. Results confirm it is a Swedish retail bank offering general services like current account</t>
  </si>
  <si>
    <t>Brixo AB</t>
  </si>
  <si>
    <t>https://brixo.se</t>
  </si>
  <si>
    <t>150000</t>
  </si>
  <si>
    <t>https://brixo.se/om-brixo/
https://brixo.se/kontantfinans/
https://brixo.se
https://www.brizo.com</t>
  </si>
  <si>
    <t>Brixo AB offers consumer credits up to 150,000 SEK without UC; also provides savings accounts with state deposit guarantee. Brand Kontantfinans discontinued in May 2025. Regulated by Finansinspektione</t>
  </si>
  <si>
    <t>Brocc Finance AB</t>
  </si>
  <si>
    <t>https://brocc.se</t>
  </si>
  <si>
    <t>https://eu-assets.contentstack.com/v3/assets/blt9e536e7f163b7c56/blt100b4793d2728614/6949471cb0adb252f7d26346/251215_PIB_BROCC_TD-NL_v2.pdf
https://thebanks.eu/banks/17627
https://broccfinance.com
https://www.preqin.com/data/profile/asset/brocc-finance-ab/775772
https://brocc.se
https://broccfinance.com/specialized-debt-management
https://assets.ctfassets.net/3xpyia5g9j9u/4tmcIq4FfgA4lEJSibSbrV/3c1fa345a5374146e4516bc3d83cba76/Arcadia-Prospectus-30-november-2018-not-locked.pdf
https://broccfinance.com/about
https://brocc.se/_documents/</t>
  </si>
  <si>
    <t>Brocc Finance AB offers consumer loans, savings accounts, and debt management via app at brocc.se; no specific lending terms found in search results. Deposits up to 950,000 SEK covered by Swedish guar</t>
  </si>
  <si>
    <t>Credento Bank AB</t>
  </si>
  <si>
    <t>https://credento.se</t>
  </si>
  <si>
    <t>100000</t>
  </si>
  <si>
    <t>https://credento.se
https://group.tfbank.se/en/wp-content/uploads/sites/2/2021/04/tf-bank-ab-publ-prospectus.pdf
https://www.bde.es/webbe/en/estadisticas/otras-clasificaciones/clasificacion-entidades/listas-instituciones-financieras/listas-instituciones-financieras-monetarias-pais/lista-mfi-se.html
https://tradersunion.com/reviews/www-credento-se/
https://digitallibrary.un.org/record/489101/files/S_10852_Add.1-EN.pdf
https://cdn.euclidlibrary.org/cdn/esj/1964/19640917/19640917.pdf
https://www.marxists.org/history/usa/pubs/appeal-to-reason/040213-appealtoreason-w428.pdf
https://gleaner.newspaperarchive.com/kingston-gleaner/1987-06-16/page-2/</t>
  </si>
  <si>
    <t>Credento has stopped new lending (nyutlåningen has been stopped). Existing customers experience no changes to repayment plans or terms. No setup or notification fees. Reminder fee of 60 SEK for late p</t>
  </si>
  <si>
    <t>Facit Bank Filial</t>
  </si>
  <si>
    <t>https://facitbank.dk/media/ckwh5rce/the_wolfsberg_group_facit_bank.pdf
https://facitbank.se/media/auxkk5yl/wolfsberg-group-questionnairy.pdf
https://eclass.upatras.gr/modules/document/file.php/LIT1917/1%20%CE%9F%CF%81%CE%AC%CF%84%CE%B9%CE%BF%CF%82,%20%CE%A3%CE%AC%CF%84%CE%B9%CF%81%CE%B5%CF%82/1%20Gowers%20-%20Horace,%20Satires%20Book%20I-Cambridge%20University%20Press%20(2012).pdf
https://tradersunion.com/reviews/www-facitbank-dk/
https://thebanks.eu/banks-by-country/Norway
https://www.gutenberg.org/cache/epub/10835/pg10835-images.html
https://journals.openedition.org/phenomenology/pdf/2184
https://pmc.ncbi.nlm.nih.gov/articles/PMC5715529/
https://archive.org/download/CasesOfConscienceV2/CasesOfConscienceV2.pdf</t>
  </si>
  <si>
    <t>No official product pages or consumer lending terms found in search results. Facit Bank A/S is a Danish virtual bank with a Swedish branch (Filial i Sverige), but results lack details on Swedish consu</t>
  </si>
  <si>
    <t>Falkenbergs Sparbank AB</t>
  </si>
  <si>
    <t>https://thebanks.eu/banks/17535
https://www.nib.int/loan/falkenbergs-sparbank-22719
https://www.riksgalden.se/en/our-operations/deposit-insurance/search-for-member-institutions/account-types-covered-by-the-insurance/falkenbergs-sparbank-ab/
https://www.falkenbergssparbank.se
https://www.falkenbergssparbank.se/privat/digitala-tjanster/internetbanken/help-to-log-in.html
https://documentation.fliqa.io/providers/list/falkenbergs_sparbank</t>
  </si>
  <si>
    <t>Högsby Sparbank</t>
  </si>
  <si>
    <t>https://thebanks.eu/banks/17546
https://www.bde.es/webbe/en/estadisticas/otras-clasificaciones/clasificacion-entidades/listas-instituciones-financieras/listas-instituciones-financieras-monetarias-pais/lista-mfi-se.html
https://www.wsbi-esbg.org/about-esbg/esbg-members/
https://support.apple.com/en-us/109516
https://gupea.ub.gu.se/bitstreams/c1d131e5-69f5-4662-893c-2b1d4e13ee73/download</t>
  </si>
  <si>
    <t>ICA Banken AB</t>
  </si>
  <si>
    <t>https://www.icagruppen.se/en/about-ica-gruppen/our-business/our-companies/ica-bank/
https://www.zoominfo.com/c/ica-banken-ab/372855039
https://en.wikipedia.org/wiki/ICA_Gruppen
https://www.icabanken.se/vara-tips/instruktioner/how-to-open-a-swedish-bank-account/
https://mwm.ai/apps/ica-banken/499287475
https://qonto.com/en/swift-codes/countries/sweden/solna/ica-banken-ab
https://www.icabanken.se/open-banking/privacy-policy-open-banking/
https://www.icagruppen.se/en/
https://www.remitly.com/us/en/swift-codes/sweden/ibcases1stm</t>
  </si>
  <si>
    <t>Ikano Bank AB</t>
  </si>
  <si>
    <t>https://ikanobank.se</t>
  </si>
  <si>
    <t>16.00%</t>
  </si>
  <si>
    <t>None</t>
  </si>
  <si>
    <t>https://bank.ikano
https://group.ikano
https://www.zoominfo.com/c/ikano-bank-ab/357452257
https://ikano.co.uk/savings/savings-terms-and-conditions
https://group.ikano/stories/banking/
https://ikano.co.uk
https://ikanobank.se/-/media/sweden/ikea/pdfs/english.pdf?la=sv-se
https://ikano.co.uk/savings
https://mp.ikano</t>
  </si>
  <si>
    <t>Variable interest rate of 16.00% for DELBETALA (split payment) product associated with IKEA purchases; terms available only in Swedish, requiring customer understanding of Swedish; digital card access</t>
  </si>
  <si>
    <t>Ivetofta Sparbank i Bromölla</t>
  </si>
  <si>
    <t>https://thebanks.eu/banks/17548
https://www.bde.es/webbe/en/estadisticas/otras-clasificaciones/clasificacion-entidades/listas-instituciones-financieras/listas-instituciones-financieras-monetarias-pais/lista-mfi-se.html
https://www.diva-portal.org/smash/get/diva2:206398/FULLTEXT01.pdf
https://support.apple.com/en-us/109516</t>
  </si>
  <si>
    <t>No official product pages or specific consumer lending terms found in search results. Bank offers consumer loans and mortgage loans per general profile[1].</t>
  </si>
  <si>
    <t>Laholms Sparbank</t>
  </si>
  <si>
    <t>https://thebanks.eu/banks/17550
http://www.riksgalden.se/en/our-operations/deposit-insurance/search-for-member-institutions/
https://enablebanking.com/blog/2023/08/20/changelog-july-2023
https://www.swedbank.com/openbanking/faq.html
https://www.ecb.europa.eu/stats/money/mfi/general/html/dla/mfi_MID/mfi_csv_251231.csv
https://support.apple.com/en-us/109516
https://www.riksbank.se/globalassets/media/rapporter/den-svenska-finansmarknaden/engelska/2024/the-swedish-financial-market-2024.pdf
https://www.ey.com/content/dam/ey-unified-site/ey-com/sv-se/about-us/documents/ey-transparency-report-sweden-2020.pdf
https://www.bravida.dk/495e8e/globalassets/9.-investors-sven/financial-reports/english-reports/2019/2019-bravida-annual-report.pdf
https://gupea.ub.gu.se/bitstreams/c1d131e5-69f5-4662-893c-2b1d4e13ee73/download</t>
  </si>
  <si>
    <t>No official product pages or specific consumer lending terms found in search results. Laholms Sparbank offers consumer loans, car loans, and mortgage loans per general bank profile[1], but detailed te</t>
  </si>
  <si>
    <t>Länsförsäkringar Bank Aktiebolag</t>
  </si>
  <si>
    <t>mortgage</t>
  </si>
  <si>
    <t>https://www.lansforsakringar.se/other-languages/english/bank/mortgage/</t>
  </si>
  <si>
    <t>10 years fixed interest period</t>
  </si>
  <si>
    <t>https://thebanks.eu/banks/17555
https://www.lansforsakringar.se/other-languages/english/bank/mortgage/
https://www.nordlb.com/my-nord/lb-portals/download/research-document-12491?cHash=489e8e073729d68308ede7e379abd5f5
https://www.lansforsakringar.se/other-languages/english/about-lansforsakringar/lansforsakringar-bank/
https://www.fi.se/en/our-registers/prospektregistret/GetFile?id=25-26729&amp;format=application%2Fpdf&amp;name=25-26729.pdf
https://www.lansforsakringar.se/other-languages/english/bank/
https://www.lansforsakringar.se/other-languages/english/about-lansforsakringar/
https://www.lansforsakringar.se/other-languages/english/
https://www.spglobal.com/ratings/en/regulatory/article/-/view/type/HTML/id/3094545</t>
  </si>
  <si>
    <t>Requires Swedish personal identity number; minimum 15% own contribution; security via mortgage deed on property; offered in SEK; apply online in Swedish or contact for English support.[2]</t>
  </si>
  <si>
    <t>Länsförsäkringar Finans AB</t>
  </si>
  <si>
    <t>https://www.lffinans.se/privat/lana/privatlan/</t>
  </si>
  <si>
    <t>400000 SEK</t>
  </si>
  <si>
    <t>30000 SEK</t>
  </si>
  <si>
    <t>18</t>
  </si>
  <si>
    <t>not specified in search results</t>
  </si>
  <si>
    <t>https://www.lansforsakringar.se/privat/bank/lana/
https://www.lffinans.se/privat/lana/privatlan/
https://www.lffinans.se
https://www.lansforsakringar.se/privat/om-oss/vara-varumarken/lf-finans/
https://www.lffinans.se/privat/lana/laneskydd/
https://www.lansforsakringar.se/privat/om-oss/finansiellt/gemensamma-bolag/lf-finans/
https://www.lansforsakringar.se/privat/bank/lana/privatlan/samla-lan-och-krediter--samlingslan/
https://www.lansforsakringar.se/privat/om-oss/digitala-tjanster/mina-sidor/
https://www.lansforsakringar.se/privat/kundservice/
https://www.lansforsakringar.se/privat/om-oss/finansiellt/</t>
  </si>
  <si>
    <t>Product is called 'Direktlånet' (Direct Loan). Requires no collateral. Variable interest rate that follows market rates. Loan protection insurance available at 6.95% of monthly amount. Additional requ</t>
  </si>
  <si>
    <t>Lekebergs Sparbank</t>
  </si>
  <si>
    <t>https://www.bde.es/webbe/en/estadisticas/otras-clasificaciones/clasificacion-entidades/listas-instituciones-financieras/listas-instituciones-financieras-monetarias-pais/lista-mfi-se.html
https://support.apple.com/en-us/109516
https://www.ey.com/content/dam/ey-unified-site/ey-com/sv-se/about-us/documents/ey-transparency-report-sweden-2024.pdf
https://gupea.ub.gu.se/bitstreams/c1d131e5-69f5-4662-893c-2b1d4e13ee73/download
https://www.diva-portal.org/smash/get/diva2:1216904/FULLTEXT01.pdf
https://ereg.ifms.go.ug/application_search_search.php
https://www.ey.com/content/dam/ey-unified-site/ey-com/sv-se/about-us/documents/ey-transparency-report-ey-sweden-2025.pdf
https://statsskuld.se/en/lediga-jobb/565601/foretagssaljare-b2b-motonet-orebro
https://www.ey.com/content/dam/ey-unified-site/ey-com/sv-se/about-us/documents/transparency-report-sweden-2023.pdf
https://www.ey.com/content/dam/ey-unified-site/ey-com/sv-se/about-us/documents/ey-transparency-report-sweden-2020.pdf</t>
  </si>
  <si>
    <t>No official product pages or consumer lending terms found in search results. Results confirm Lekebergs Sparbank as a Swedish credit institution but lack specific product details.</t>
  </si>
  <si>
    <t>Lönneberga-Tuna-Vena Sparbank</t>
  </si>
  <si>
    <t>https://thebanks.eu/banks/17639
https://www.ltvsparbank.se
https://sv.wikipedia.org/wiki/L%C3%B6nneberga-Tuna-Vena_Sparbank
https://www.hitta.se/l%C3%B6nneberga+tuna+vena+sparbank/silverdalen/ntbecgud
http://www.riksgalden.se/en/our-operations/deposit-insurance/search-for-member-institutions/account-types-covered-by-the-insurance/Lonneberga-Tuna-Vena-Sparbank/
https://www.ltvsparbank.se/privat.html
https://www.infobel.com/en/sweden/lonneberga_tuna_vena_sparbank/vena/SE102122741-049549410/businessdetails.aspx</t>
  </si>
  <si>
    <t>Markaryds Sparbank</t>
  </si>
  <si>
    <t>https://www.markarydssparbank.se</t>
  </si>
  <si>
    <t>N/A</t>
  </si>
  <si>
    <t>https://thebanks.eu/banks/17557
https://www.markarydssparbank.se
https://rocketreach.co/markaryds-sparbank-profile_b4317467c1eb17ab
https://www.markarydssparbank.se/privat/digitala-tjanster/internetbanken.html
https://www.markarydssparbank.se/privat/digitala-tjanster/internetbanken/help-to-log-in.html
https://www.markarydssparbank.se/privat/spara-och-placera/kapitalforsakringar.html</t>
  </si>
  <si>
    <t>No official consumer lending product pages or specific terms found in search results. Bank offers consumer loans per profile[1], but details unavailable; main site is https://www.markarydssparbank.se[</t>
  </si>
  <si>
    <t>Moank AB</t>
  </si>
  <si>
    <t>https://www.bde.es/webbe/en/estadisticas/otras-clasificaciones/clasificacion-entidades/listas-instituciones-financieras/listas-instituciones-financieras-monetarias-pais/lista-mfi-se.html
https://www.openpayments.io
https://www.nasdaq.com/european-market-activity/news/company-news
https://viljasolutions.com/news/
https://www.hhs.se/contentassets/88eee8ea2b664a58bc652cb84aadded3/stockholmfintechreport2018v2.3.pdf</t>
  </si>
  <si>
    <t>Morrow Bank AB</t>
  </si>
  <si>
    <t>https://morrowbank.com</t>
  </si>
  <si>
    <t>https://live.euronext.com/sites/default/files/company_press_releases/attachments_oslo/2025/03/12/640989_Morrow%20Bank%20ASA%20-%20Annual%20report%202024%20-%20EN.pdf
https://www.investing.com/equities/komplett-bank
https://ir.morrowbank.com
https://www.investing.com/equities/morrow-bank-ab
https://thebanks.eu/banks/19672
https://rocketreach.co/wilhelm-thomassen-email_20832394</t>
  </si>
  <si>
    <t xml:space="preserve">Search results confirm Morrow Bank AB offers consumer loans in Sweden but provide no official product pages or specific lending terms such as APR, loan amounts, age, or term. Main site morrowbank.com </t>
  </si>
  <si>
    <t>Nordea Bank Abp, filial i Sverige</t>
  </si>
  <si>
    <t>https://www.nordea.se/privat/produkter/lan/privatlan.html</t>
  </si>
  <si>
    <t>4.95%</t>
  </si>
  <si>
    <t>12.95%</t>
  </si>
  <si>
    <t>500000</t>
  </si>
  <si>
    <t>10000</t>
  </si>
  <si>
    <t>12</t>
  </si>
  <si>
    <t>https://www.nordea.se/privat/produkter/lan/
https://www.nordea.se/privat/produkter/lan/privatlan.html
https://www.nordea.se/privat/produkter/lan/skillnad-lan-med-och-utan-sakerhet.html
https://www.nordea.se/privat/produkter/bolan/
https://www.nordea.se/privat/produkter/lan/hantera-ditt-privatlan.html
https://www.nordea.com/sv/logga-in
https://www.nordea.se
https://www.nordea.com/sv/om-oss/kontakta-oss
https://www.nordea.com/en
https://www.nordea.se/privat/produkter/mobilbank-internetbank/internetbanken.html</t>
  </si>
  <si>
    <t>Effective APR 5.24%–13.97%. Must be a customer for 90 days. Requires credit check. Ångerrätt 14 days. Option for joint application.</t>
  </si>
  <si>
    <t>Nordea Finans Sverige AB</t>
  </si>
  <si>
    <t>https://www.nordea.dk/Images/144-236135/General%20conditions%20for%20loans%20and%20credits%20for%20personal%20use.pdf
https://thebanks.eu/banks/17643
https://www.nordea.com/en/sustainability/financing
https://www.fdic.gov/resolutions/nordea-2025-165d-resolution-plan-public-section.pdf
https://www.nordea.com/en/general-terms
https://www.nordea.com/en/investors/debt-and-rating/terms-and-conditions
https://www.nordea.com/en/news-topics/financing
https://www.nordea.com/en/our-services/nordea-finance
https://www.nordea.fi/en/personal/get-help/faq-about-loans-and-credits.html</t>
  </si>
  <si>
    <t>No official product pages or specific current consumer lending terms found in search results for Nordea Finans Sverige AB. Offers consumer credits and installment loans per secondary source[2], but la</t>
  </si>
  <si>
    <t>Northmill Bank AB</t>
  </si>
  <si>
    <t>https://www.northmill.com/se/</t>
  </si>
  <si>
    <t>300000</t>
  </si>
  <si>
    <t>https://www.northmill.com/se/om-oss/nyheter/northmill-introduces-new-tailored-product-in-finland/
https://www.northmill.com/se-en/about-us/
https://www.northmill.com/se/om-oss/nyheter/northmill-is-now-officially-a-payment-service-provider/
https://www.northmill.com/se/om-oss/
https://www.northmill.com/se-en/about-us/responsibility/
https://www.northmill.com/se/
https://www.northmill.com/se-en/about-us/contact/
https://www.northmill.com/se/sidkarta/</t>
  </si>
  <si>
    <t>Offers 'Flexibelt lån' up to 50,000 SEK (flexible loan with pay-for-what-you-withdraw) and 'Samla lån' up to 300,000 SEK (loan consolidation). Specific terms like APR, age, and term not detailed in re</t>
  </si>
  <si>
    <t>Resurs Bank Aktiebolag</t>
  </si>
  <si>
    <t>https://www.resursbank.se</t>
  </si>
  <si>
    <t>400000</t>
  </si>
  <si>
    <t>https://documenthandler.resurs.com/Dokument.pdf?customerType=natural&amp;docType=commonTermsEnglish&amp;land=NO&amp;language=no
https://thebanks.eu/banks/17566
https://www.resursholding.com/en/resurs-bank-extends-and-increases-its-abs-financing/
https://www.resursbank.fi/tietoja-meista/lehdisto-ja-media/lehdistotiedotteet/cision/1ce2902a-3aee-4ab3-8b30-0d654ea63529
https://www.resursbank.se
https://www.fi.se/sv/vara-register/prospektregistret/GetFile?id=24-27666&amp;format=application%2Fpdf&amp;name=24-27666.pdf
https://www.resursholding.com/en/sustainability/our-focus-areas/sustainable-credit-lending/
https://nordiccreditrating.com/article/resurs-bank-bbb-long-term-issuer-rating-affirmed-outlook-stable?language_content_entity=en
https://www.resursbank.se/om-oss/press-media/pressmeddelanden/innehall-cision-2/b1e9202f-7061-4cbe-8ded-8f51e0e8a62c
https://documenthandler.resurs.com/Dokument.pdf?customerType=NATURAL&amp;docType=RB-annual-report-2024&amp;land=SE&amp;language=sv</t>
  </si>
  <si>
    <t>Consumer loans up to 400,000 SEK without collateral. Specific terms like APR, min/max amounts, age, and term not detailed in search results; refers to annuity loan with floating rate in Norwegian term</t>
  </si>
  <si>
    <t>Roslagens Sparbank</t>
  </si>
  <si>
    <t>https://www.roslagenssparbank.se</t>
  </si>
  <si>
    <t>https://thebanks.eu/banks/17567
https://www.creditsafe.com/business-index/en-gb/company/roslagens-sparbank-se00452714
https://lei.bloomberg.com/leis/view/549300RDNV5FVDXYEF72
https://prospeo.io/c/roslagens-sparbank-revenue</t>
  </si>
  <si>
    <t>No official product pages or specific consumer lending terms found in search results. Bank offers consumer loans per general profile[1][2].</t>
  </si>
  <si>
    <t>Sala Sparbank</t>
  </si>
  <si>
    <t>https://thebanks.eu/banks/17568
https://www.salasparbank.se
https://support.apple.com/en-us/109516
https://www.riksbank.se/globalassets/media/rapporter/den-svenska-finansmarknaden/engelska/2024/the-swedish-financial-market-2024.pdf
https://www.irs.gov/pub/fatca/FFIListFull062017.csv
https://gupea.ub.gu.se/bitstreams/c1d131e5-69f5-4662-893c-2b1d4e13ee73/download
https://jacobbergdahl.com
https://uu.diva-portal.org/smash/get/diva2:128736/FULLTEXT01.pdf</t>
  </si>
  <si>
    <t>Santander Consumer Bank AS Norge, Sverige Filial</t>
  </si>
  <si>
    <t>https://www.santanderconsumer.se</t>
  </si>
  <si>
    <t>8.20%</t>
  </si>
  <si>
    <t>28.80%</t>
  </si>
  <si>
    <t>350000 NOK</t>
  </si>
  <si>
    <t>10000 NOK</t>
  </si>
  <si>
    <t>15 years</t>
  </si>
  <si>
    <t>https://thebanks.eu/banks/17575
https://qonto.com/en/swift-codes/countries/sweden/stockholm/santander-consumer-bank-as-norge-sverige-filial
https://www.santanderconsumer.no/om-oss/in-english
https://wise.com/gb/swift-codes/countries/sweden/santander-consumer-bank-as-norge-sverige-filial
https://www.hitta.se/santander+consumer+bank+as+norge+sverige+filial/f%C3%B6retag/2
https://www.santanderconsumer.no
https://www.xflowpay.com/tools/swift-code/countries/Sweden/santander-consumer-bank-as-norge-sverige-filial
https://www.santanderconsumer.se
https://www.finanstilsynet.no/virksomhetsregisteret/detalj/?id=199046</t>
  </si>
  <si>
    <t xml:space="preserve">Loan amounts and terms listed are from Norwegian operations (NOK currency). Swedish operations conducted through branch offices under same entity name. Effective interest rate example provided: 15.7% </t>
  </si>
  <si>
    <t>SBAB Bank AB</t>
  </si>
  <si>
    <t>https://www.sbab.se/1/in_english.html</t>
  </si>
  <si>
    <t>https://www.sbab.se/1/in_english.html
https://www.sbab.se/download/18.113e0059190de94eea1153a6/1738862304105/SBAB_Q42024_ENG.pdf
https://en.wikipedia.org/wiki/SBAB
https://mwm.ai/apps/sbab/1284703331
https://www.sbab.se/download/18.633f79281727d901c8d316/1591777322620/20200610%20SBAB%20Bank%20AB%20becomes%20Signatory%20of%20the%20global%20Principles%20for%20Responsible%20Banking.pdf
https://www.sbab.se/download/18.113e0059190de94eea11876e/1742399889344/SBAB%20%C3%85R%202024_250320_ENG.pdf
https://carbonaccountingfinancials.com/files/institutions_downloads/sbab-ar-2021-eng-final-20220325.pdf
https://leadiq.com/c/sbab-bank-ab-publ/5a1d8b312400002400665c3f
https://www.fi.se/en/our-registers/prospektregistret/GetFile/?id=24-5138&amp;format=application%2Fpdf&amp;name=24-5138.pdf</t>
  </si>
  <si>
    <t>SBAB's core consumer product is residential mortgages, supplemented by personal loans and savings accounts. No specific lending terms available in search results; official Swedish site likely at sbab.</t>
  </si>
  <si>
    <t>Sidensjö Sparbank</t>
  </si>
  <si>
    <t>https://thebanks.eu/banks/17543
https://www.bde.es/webbe/en/estadisticas/otras-clasificaciones/clasificacion-entidades/listas-instituciones-financieras/listas-instituciones-financieras-monetarias-pais/lista-mfi-se.html
https://support.apple.com/en-us/109516
https://gupea.ub.gu.se/bitstreams/c1d131e5-69f5-4662-893c-2b1d4e13ee73/download
https://www.pwc.se/sv/om-oss/transparency-report-2023-2024-final.pdf
https://www.pwc.se/sv/om-oss/transparency-report-2021-2022.pdf</t>
  </si>
  <si>
    <t>No official product pages or specific consumer lending terms found in search results. Sidensjö Sparbank offers consumer loans and mortgage loans per bank profile[1], but detailed terms unavailable.</t>
  </si>
  <si>
    <t>Skandinaviska Enskilda Banken AB</t>
  </si>
  <si>
    <t>https://www.seb.ee/en/private/loans/consumer-loan
https://www.seb.lv/en/private/loans/consumer-loan
https://www.seb.ee/en/private/loans/home-small-loan
https://webapp.sebgroup.com/mb/mblib.nsf/alldocsbyunid/A29BFC3F416B1B17C1258A74004B1A83/$FILE/General_terms_and_conditions_Corporate_18_February_2025.pdf
https://www.fi.se/sv/vara-register/prospektregistret/GetFile/?id=21-32722&amp;format=application%2Fpdf&amp;name=21-32722.pdf
https://webapp.sebgroup.com/mb/mblib.nsf/alldocsbyunid/AD0A07C6EC76228DC1258B3E0076117A/$FILE/Pricelist_9_2024.pdf
https://webapp.sebgroup.com/mb/mblib.nsf/dld/98B4CC7D4D7E2A8CC1258D99002B0883?opendocument
https://www.spglobal.com/ratings/en/regulatory/article/-/view/type/HTML/id/3482476
https://webapp.sebgroup.com/mb/mblib.nsf/dld/B1B48F9C55F50CEEC125842C0039A504?opendocument
https://webapp.sebgroup.com/mb/mblib.nsf/dld/8CEF63F418C2D751C12586A0003B2D4B?opendocument</t>
  </si>
  <si>
    <t>No official Swedish consumer lending product pages or terms found for Skandinaviska Enskilda Banken AB in search results. Results show consumer loans for SEB in Estonia (seb.ee) and Latvia (seb.lv), a</t>
  </si>
  <si>
    <t>Skurups Sparbank</t>
  </si>
  <si>
    <t>https://www.sparbankensyd.se/-/media/sparbankensyd/open-homepages/dokument/om-oss/finansiell-information/kreditbetyg/sparbanken-syd-moodys-credit-opinion.pdf?rev=b96dfd8d3ec04995b01db3117de60280&amp;hash=1F3EA9AAC15AC34EF12014711F8ABE0D
https://www.riksbank.se/en-gb/markets/interest-free-deposits-deposit-requirement/for-credit-institutions-subject-to-the-deposit-requirement/list-of-credit-institutions/
https://entercard.com/sites/default/files/2025-07/Annual_Report_Entercard_2021.pdf
https://www.swedbank.com/openbanking/faq.html
https://nordiccreditrating.com/uploads/2025-05/NCR-Swedish%20savings%20banks_06May2025_published.pdf
https://www.skurupssparbank.se/privat/spara-och-placera/fonder/fondforandringar.html
https://support.apple.com/en-us/109516
https://www.ecb.europa.eu/stats/money/mfi/general/html/dla/mfi_MID/mfi_csv_251231.csv
https://www.unepfi.org/wordpress/wp-content/uploads/2023/09/PRB-Second-Progress-Report-2023.pdf
https://www.diva-portal.org/smash/get/diva2:548200/FULLTEXT01.pdf</t>
  </si>
  <si>
    <t>No official product pages or current consumer lending terms found in search results. Skurups Sparbank is confirmed as a Swedish savings bank [2][5], with its website at https://www.skurupssparbank.se/</t>
  </si>
  <si>
    <t>Sörmlands Sparbank AB</t>
  </si>
  <si>
    <t>https://www.sormlandssparbank.se</t>
  </si>
  <si>
    <t>2.99%</t>
  </si>
  <si>
    <t>50 years</t>
  </si>
  <si>
    <t>https://www.jpx.co.jp/english/equities/products/tpbm/announcement/detail/b5b4pj000001ociu-att/b5b4pj000003gk6g.pdf
https://www.sormlandssparbank.se
https://www.bde.es/webbe/en/estadisticas/otras-clasificaciones/clasificacion-entidades/listas-instituciones-financieras/listas-instituciones-financieras-monetarias-pais/lista-mfi-se.html
https://www.sustainax.com/esg-research-and-esg-rating/arbejdernes-landsbank
https://support.apple.com/en-us/109516
https://www.goclimate.com
https://kclpure.kcl.ac.uk/portal/files/340697755/Sustainability_adaptation_in_Swedish_banks_evidence_from_senior_bank_leaders.pdf
https://www.fi-compass.eu/sites/default/files/publications/financial_needs_agriculture_agrifood_sectors_Sweden.pdf
https://uu.diva-portal.org/smash/get/diva2:1953374/FULLTEXT01.pdf</t>
  </si>
  <si>
    <t>Bopaket Ung for under 35: 2.99% 3-year fixed rate (effective 3.03% example for 1M SEK, 50-year straight-line amortization, last updated 2026-03-24); requires 10% down payment; 3 months free home insur</t>
  </si>
  <si>
    <t>Sparbanken Bergslagen AB</t>
  </si>
  <si>
    <t>https://www.sparbankenbergslagen.se/privat/lana-pengar</t>
  </si>
  <si>
    <t>https://thebanks.eu/banks/17592
https://www.sparbankenbergslagen.se/privat/digitala-tjanster/internetbanken/help-to-log-in.html
https://www.sparbankenbergslagen.se
https://www.sparbankenbergslagen.se/privat/digitala-tjanster/kundcenter-privat.html
https://www.sparbankenbergslagen.se/faq.html
https://www.sparbankenbergslagen.se/kontakt.html
https://www.sparbankenbergslagen.se/privat/spara-och-placera/mifid/avtal-och-allmanna-villkor/agreements-and-general-terms-clients-to-swedbank-norwegian.html
https://www.sparbankenbergslagen.se/privat/digitala-tjanster/internetbanken.html
https://www.sparbankenbergslagen.se/foretag.html
https://www.sparbankenbergslagen.se/kontakt/foretagsmarknad.html</t>
  </si>
  <si>
    <t>No specific consumer lending terms or product pages with rates, amounts, or conditions found in search results; bank offers consumer loans per general profile[1], main site has 'Låna pengar' section[3</t>
  </si>
  <si>
    <t>Sparbanken Gotland</t>
  </si>
  <si>
    <t>https://thebanks.eu/banks/17660
https://www.sparbankengotland.se
https://www.sparbankengotland.se/privat/digitala-tjanster/internetbanken/help-to-log-in.html
https://www.fi.se/sv/vara-register/prospektregistret/GetFile/?id=20-24293&amp;format=application%2Fpdf&amp;name=20-24293.pdf
https://www.ifn.se/media/3csplkiy/2022-edvinsson-jacobson-waldenstr%C3%B6m-banking-bonds-national-wealth-and-stockholm-house-prices.pdf
https://www.riksbank.se/globalassets/media/forskning/monetar-statistik/volym-3/riksbanken_iii_ch3.pdf
https://www.developmentaid.org/donors?showAdvancedFilters=1&amp;sort=tendersTotal.desc&amp;pageSize=100&amp;legalResidences=228
https://www.government.se/contentassets/8b0e7a6139f048eea892f5bec6b05c68/annual-report-for-government-owned-companies-2000-financial-year-1999</t>
  </si>
  <si>
    <t>Sparbanken Mälardalen AB</t>
  </si>
  <si>
    <t>https://www.sparbankenmalardalen.se</t>
  </si>
  <si>
    <t>2.79%</t>
  </si>
  <si>
    <t>https://thebanks.eu/banks/17619
https://www.sparbankenmalardalen.se
https://nordiccreditrating.com
https://www.swedfund.se/media/rpgblaog/260331-swedfund_ar25_eng.pdf
https://www.fi.se/en/result/?page=248
https://www.malarplast.se/gallery/1774000249.8289.pdf
https://support.apple.com/en-us/109516
https://www.sparbankenvm.se/privat/kort/bankkort.html
https://www.icmagroup.org/assets/ICMA-Sustainable-Bonds-Database-180622.xlsx</t>
  </si>
  <si>
    <t xml:space="preserve">Mortgage rates: 2.79% (1-year fixed) for new home buyers until 2026-05-31; 2.99% (3-year fixed) for ages 18-35 via Bolån Ung. Rates as of 2026-03-24, subject to change. Also offers consumer loans per </t>
  </si>
  <si>
    <t>Sparbanken Nord</t>
  </si>
  <si>
    <t>https://www.sparbankennord.se/en/private.html</t>
  </si>
  <si>
    <t>https://www.sparbankennord.se/en/private.html
https://thebanks.eu/banks/17582
https://www.sparbankennord.se/en/about-sparbanken-nord/user-terms.html
https://www.sparbankennord.se/en/about-sparbanken-nord.html
https://www.sparbankennord.se/en/private/insurance.html
https://media.sparnord.dk/com/investor/financial_communication/reports/2024/Q4_2024_eng.pdf
https://www.sparbankennord.se/en/about-sparbanken-nord/processing-of-personal-data.html
https://www.sparnord.dk/dit-liv/
https://www.sparbankennord.se
https://www.sparbankennord.se/privat/livet/fritid.html</t>
  </si>
  <si>
    <t>No official product pages or specific consumer lending terms (APR, amounts, age, term) found in search results. Bank offers consumer loans per profile[2], but details unavailable on site.</t>
  </si>
  <si>
    <t>Sparbanken Sjuhärad AB</t>
  </si>
  <si>
    <t>https://www.sparbankensjuharad.se/en/about-sparbanken-sjuharad.html
https://www.sparbankensjuharad.se/en/
https://thebanks.eu/banks/17669
https://www.sparbankensjuharad.se/en/about-sparbanken-sjuharad/user-terms.html
https://www.sparbankensjuharad.se/en/private/savings.html
https://www.sparbankensjuharad.se/en/contact-us.html
https://www.sparbankensjuharad.se
https://www.sparbankensjuharad.se/en/private/cards-and-payment.html
https://www.sparbankensjuharad.se/en/private/our-app.html
https://www.sparbankensjuharad.se/en/about-sparbanken-sjuharad/customers-outside-sweden.html</t>
  </si>
  <si>
    <t>No official product pages or specific consumer lending terms (e.g., for consumer loans, mortgages) found in search results. Bank offers general private banking services, savings accounts [5], and card</t>
  </si>
  <si>
    <t>Sparbanken Skåne AB</t>
  </si>
  <si>
    <t>https://www.sparbankenskane.se</t>
  </si>
  <si>
    <t>https://www.cbinsights.com/company/sparbanken-skne
https://www.sparbankenskane.se/om-webbplatsen/anvandarvillkor/user-terms.html
https://thebanks.eu/banks/17625
https://www.sparbankenskane.se/om-webbplatsen/linking-to-sparbanken-skane.html
https://www.sparbankenskane.se/privat/bli-kund/become-a-customer.html
https://www.sparbankenskane.se/foretag/betala-och-ta-betalt/betala.html
https://www.sparbankenskane-premium.se
https://www.sparbankenskane.se
https://www.sparbankensyd.se</t>
  </si>
  <si>
    <t>No specific official product pages or detailed consumer lending terms (e.g., APR, loan amounts, terms) found in search results. Bank offers general services including loans per [1][8], but current ter</t>
  </si>
  <si>
    <t>Sparbanken Skaraborg AB</t>
  </si>
  <si>
    <t>https://www.sparbankenskaraborg.se</t>
  </si>
  <si>
    <t>https://nordiccreditrating.com/uploads/2024-02/NCR%20-%20Sparbanken_Skaraborg_AB_publ%20-%20Full%20Rating%20Report%201%20Feb.%202024.pdf
https://www.sparbankenskaraborg.se
https://uu.diva-portal.org/smash/get/diva2:1953374/FULLTEXT01.pdf
https://support.apple.com/en-us/109516
https://www.nasdaq.com/european-market-activity/news/company-news
https://bankinghistory.org/wp-content/uploads/EABH36-Social-Aims-Book-AW-Web.pdf
https://www.ruthassetmanagement.com/media/kibcbqvd/fs_ruth-asset-management-sicav-31-12-2024.pdf
https://www.absolentgroup.com/globalassets/documents/financial-reports/2020/absolentgroup_arsredovisning_2020_eng.pdf
https://www.riksbank.se/globalassets/media/rapporter/pov/engelska/2021/economic-review-1-2021.pdf</t>
  </si>
  <si>
    <t>Official bank website mentions consumer loans (e.g., car, leisure, member loans) and cards, but no specific product pages or detailed lending terms found in search results. New mortgage rules noted fr</t>
  </si>
  <si>
    <t>Sparbanken Spira AB</t>
  </si>
  <si>
    <t>https://www.riksgalden.se/en/our-operations/deposit-insurance/search-for-member-institutions/account-types-covered-by-the-insurance/Sparbanken-Spira-AB/
https://www.sparbankenspira.se/en/about-sparbanken-spira/user-terms.html
https://www.sparbankenspira.se/en/private.html
https://thebanks.eu/banks/17597
https://www.sparbankenspira.se/en/private/service-packages.html
https://www.sparbankenspira.se/en/private/digital-services/the-private-app.html
https://www.sparbankenspira.se/en/private/cards-and-payment/account-register.html
https://www.sparbankenspira.se/en/private/digital-services.html</t>
  </si>
  <si>
    <t>Sparbanken Syd</t>
  </si>
  <si>
    <t>https://www.swedbank.lt/private/credit/loans/newSmall?language=ENG
https://thebanks.eu/banks/17584
https://pickthebank.eu/banks/sweden/sparbanken-syd-spsdse23/
https://www.swedbank.lt/private/credit?language=ENG
https://www.sparbankensyd.se/-/media/sparbankensyd/open-homepages/dokument/om-oss/finansiell-information/kreditbetyg/sparbanken-syd-moodys-credit-opinion.pdf?rev=b96dfd8d3ec04995b01db3117de60280&amp;hash=1F3EA9AAC15AC34EF12014711F8ABE0D
https://cbonds.com/bonds/1804527/
https://www.remitly.com/de/en/providers-sweden/send-money-to-sparbanken-syd
https://play.google.com/store/apps/details?id=se.sparbankensyd.beta.internetbanken
https://www.dsgv.de/uploads/Country_Report_Sweden_2025_1_41b9629d8c.pdf</t>
  </si>
  <si>
    <t>No official product pages or current consumer lending terms for Sparbanken Syd found in search results. Sources confirm Sparbanken Syd offers consumer loans [2] but lack specific details like APR, loa</t>
  </si>
  <si>
    <t>Sparbanken Tanum</t>
  </si>
  <si>
    <t>https://www.sparbankentanum.se</t>
  </si>
  <si>
    <t>https://thebanks.eu/banks/17585
https://www.vastsverige.com/en/tanum/produkter/sparbanken-tanum/
https://www.sparbankentanum.se
https://www.sparbankentanum.se/privat/rantor-priser-och-kurser/betalningstjanster.html
https://www.sparbankentanum.se/bedrageri-och-sakerhet/banksekretess-och-integritet/behandling-av-personuppgifter.html
https://tradersunion.com/reviews/sparbankentanum-se/</t>
  </si>
  <si>
    <t>No official product pages or specific consumer lending terms (e.g., APR, loan amounts, terms) found in search results. Bank offers consumer loans per general profiles [1], but detailed terms unavailab</t>
  </si>
  <si>
    <t>Svea Bank AB</t>
  </si>
  <si>
    <t>https://www.svea.com/en-gb/about
https://www.svea.com
https://www.svea.com/globalassets/sweden/svea-bank-ab---t2-prospectus.pdf
https://www.svea.com/en-gb/about/financial-information
https://www.svea.com/en-gb/financing
https://www.svea.com/en-gb/banking
https://www.svea.com/fi/fi/yritykset/maksupalvelut/kauppiaan-tuki/new-order-in-presenting-payment-methods/
https://www.svea.com/en-gb/contact
https://www.svea.com/en-gb/payments
https://www.svea.com/en-gb/about/news?category=all&amp;page=2</t>
  </si>
  <si>
    <t>No official product pages or specific consumer lending terms found in search results. Svea Bank mentions offering loans for consumers [1][2], but details are unavailable. Primarily business-focused se</t>
  </si>
  <si>
    <t>Svenska Handelsbanken AB</t>
  </si>
  <si>
    <t>https://www.handelsbanken.se/en/personal/mortgage-loan</t>
  </si>
  <si>
    <t>https://thebanks.eu/banks/17591
https://www.handelsbanken.se/en/personal/mortgage-loan/committed-loan-offers-and-mortgage-loans
https://www.handelsbanken.se/en/personal/everyday-banking/digital-services/online-banking
https://www.handelsbanken.no/en/personal/loans
https://www.handelsbanken.se/en/
https://en.wikipedia.org/wiki/Handelsbanken
https://www.handelsbanken.se/en/personal/mortgage-loan
https://www.handelsbanken.com/en/investor-relations/debt-investors/funding
https://www.handelsbanken.se/en/personal/contact-and-support
https://www.handelsbanken.com/en/</t>
  </si>
  <si>
    <t>Committed loan offers valid for 6 months; up to 85% of home's market value; home used as security; apply via app or branch; individual interest rates; green mortgage discounts available[2][7]</t>
  </si>
  <si>
    <t>Swedbank AB</t>
  </si>
  <si>
    <t>https://www.swedbank.lt/private/credit/loans/newSmall?language=ENG</t>
  </si>
  <si>
    <t>19.55%</t>
  </si>
  <si>
    <t>200000</t>
  </si>
  <si>
    <t>5000</t>
  </si>
  <si>
    <t>36</t>
  </si>
  <si>
    <t>https://www.swedbank.lt/private/credit/loans/newSmall?language=ENG
https://www.skano.com/en/swedbank-small-loan/
https://www.swedbank.lt/private/credit?language=ENG
https://www.swedbankpay.se/siteassets/dokument/avtal-och-blanketter/privatperson/standard-european-consumer-credit-information-swe-eng.pdf/1000
https://www.swedbank.lt/private/credit/loans/home_small_loanLT?language=ENG
https://www.jpx.co.jp/english/equities/products/tpbm/announcement/detail/b5b4pj000001ociu-att/b5b4pj0000025bmn.pdf
https://owp.klarna.com/legacy/assets/2021/02/02124559/FINAL-TERMS-Loan-103.pdf
https://finanscentralen.fi.se/search/GetFile.aspx?fid=25515</t>
  </si>
  <si>
    <t>Amounts in EUR (500-20,000); requires steady income ≥€450 (or €1000 with co-borrower) for 6 months; example APR 19.55% for €2500 over 3 years at 15.9% flat rate. Swedish-specific pages not found in re</t>
  </si>
  <si>
    <t>TF Bank AB</t>
  </si>
  <si>
    <t>https://eu-assets.contentstack.com/v3/assets/blt9e536e7f163b7c56/blt3265561800135cc6/65ce1eff475791040ad16e7c/2023.01.12_PIB_TD_TF_Bank_IE.pdf
https://group.tfbank.se/en/wp-content/uploads/sites/2/2021/04/tf-bank-ab-publ-prospectus.pdf
https://eu-assets.contentstack.com/v3/assets/blt9e536e7f163b7c56/blta7a3b12673f6fe07/65ce1ea1475791040ad16e79/2023.1102.12_PIB_ON_TF_Bank_IE.pdf
https://group.avarda.com/en/wp-content/uploads/sites/2/2023/09/tf-bank-ab-publ-t1-prospectus.pdf
https://group.tfbank.se/en/wp-content/uploads/sites/2/2025/12/tf-bank-ab-publ-t2-prospectus.pdf
https://group.tfbank.se/en/section/media/press-releases/?regulatory=true
https://www.td.com/ca/en/personal-banking
https://www.td.com/us/en/personal-banking
https://group.tfbank.se/en/section/investor-relations/prospectuses/
https://www.td.com/us/en/personal-banking/online-banking</t>
  </si>
  <si>
    <t>Search results primarily cover deposit products (term deposits, savings accounts) and prospectuses mentioning historical consumer lending (up to SEK 45,000–300,000, durations 1-10 years) but no curren</t>
  </si>
  <si>
    <t>TF Bank Nordic AB</t>
  </si>
  <si>
    <t>10 years</t>
  </si>
  <si>
    <t>https://group.tfbank.se/en/wp-content/uploads/sites/2/2021/04/tf-bank-ab-publ-prospectus.pdf
https://thebanks.eu/banks/19649
https://eu-assets.contentstack.com/v3/assets/blt9e536e7f163b7c56/blta7a3b12673f6fe07/65ce1ea1475791040ad16e79/2023.1102.12_PIB_ON_TF_Bank_IE.pdf
https://group.avarda.com/en/wp-content/uploads/sites/2/2023/09/tf-bank-ab-publ-t1-prospectus.pdf
https://group.tfbank.se/en/wp-content/uploads/sites/2/2025/12/tf-bank-ab-publ-t2-prospectus.pdf
https://qonto.com/en/swift-codes/countries/sweden/boras/tf-bank-ab
https://thebanks.eu/banks/19687
https://tfbank.de
https://formacionpoliticaisc.buenosaires.gob.ar/breaking-review/tf-bank-deutschland-impressum-all-you-need-to-know-1764803837</t>
  </si>
  <si>
    <t>TF Bank Nordic AB is the Swedish subsidiary of TF Bank AB (publ), an online-based niche bank offering unsecured consumer financing through its Direct to Consumer segment[1]. The loan amounts vary depe</t>
  </si>
  <si>
    <t>Ulricehamns Sparbank</t>
  </si>
  <si>
    <t>https://thebanks.eu/banks/17599
https://seb.se
https://www.handelsbanken.se/sv/
https://www.bde.es/webbe/en/estadisticas/otras-clasificaciones/clasificacion-entidades/listas-instituciones-financieras/listas-instituciones-financieras-monetarias-pais/lista-mfi-se.html
https://support.apple.com/en-us/109516
https://www.goclimate.com
https://gupea.ub.gu.se/bitstreams/c1d131e5-69f5-4662-893c-2b1d4e13ee73/download</t>
  </si>
  <si>
    <t>No official product pages or specific consumer lending terms found in search results. Ulricehamns Sparbank offers consumer loans among other products, but detailed terms like APR, loan amounts, age, o</t>
  </si>
  <si>
    <t>Vadstena Sparbank</t>
  </si>
  <si>
    <t>https://thebanks.eu/banks/17601
https://www.vadstenasparbank.se
http://www.riksgalden.se/en/our-operations/deposit-insurance/search-for-member-institutions/account-types-covered-by-the-insurance/Vadstena-Sparbank/
https://www.vadstenasparbank.se/om-oss.html
https://www.vadstenasparbank.se/privat/digitala-tjanster/internetbanken.html
https://www.vadstenasparbank.se/privat/betala-och-overfora/konton/clearingnummer/bankkontonummer-clearingnummer-kontonummer.html</t>
  </si>
  <si>
    <t>Vimmerby Sparbank AB</t>
  </si>
  <si>
    <t>https://www.vimmerbysparbank.se/privat.html</t>
  </si>
  <si>
    <t>https://thebanks.eu/banks/17607
https://www.zoominfo.com/c/vimmerby-sparbank-ab/425699575
https://www.vimmerbysparbank.se/privat.html
https://www.vimmerbysparbank.se/privat/digitala-tjanster/internetbanken/help-to-log-in.html
https://www.vimmerbysparbank.se/privat/spara-och-placera/mifid/avtal-och-allmanna-villkor/agreements-and-general-terms-clients-to-swedbank-norwegian.html
https://www.vimmerbysparbank.se/om-oss/fakta-och-ekonomi.html
https://www.vimmerbysparbank.se
https://www.vimmerbysparbank.se/privat/spara-och-placera/sparkonton.html
https://www.vimmerbysparbank.se/foretag.html
https://www.vimmerbysparbank.se/privat/digitala-tjanster.html</t>
  </si>
  <si>
    <t>No specific consumer lending terms or dedicated product pages found in search results. Bank offers consumer loans generally[1][3], with private banking section at https://www.vimmerbysparbank.se/priva</t>
  </si>
  <si>
    <t>Virserums Sparbank</t>
  </si>
  <si>
    <t>https://thebanks.eu/banks/17608
http://www.riksgalden.se/en/our-operations/deposit-insurance/search-for-member-institutions/
https://enablebanking.com/blog/2023/08/20/changelog-july-2023
https://www.swedbank.com/openbanking/faq.html
https://en.wikipedia.org/wiki/List_of_banks_in_Sweden
https://support.apple.com/en-us/109516
https://www.wsbi-esbg.org/digital-platforms-serving-the-agricultural-sector/
https://www.ecb.europa.eu/stats/money/mfi/general/html/dla/mfi_MID/mfi_csv_251231.csv
https://www.diva-portal.org/smash/get/diva2:1863076/FULLTEXT01.pdf
https://gupea.ub.gu.se/bitstreams/c1d131e5-69f5-4662-893c-2b1d4e13ee73/download</t>
  </si>
  <si>
    <t>No official product pages or specific consumer lending terms found in search results. Virserums Sparbank offers consumer loans per third-party profile[1], but detailed terms unavailable.</t>
  </si>
  <si>
    <t>Westra Wermlands Sparbank</t>
  </si>
  <si>
    <t>https://thebanks.eu/banks/17605
https://wise.com/gb/blog/banks-in-sweden
https://www.nib.int/files/8440e7ce066788f429443b3b906a81d968e55ef8/5287-annual-review-2015.pdf
https://enterslice.com/se/open-bank-account-in-sweden
https://www.fi.se/contentassets/7c8169d883f643f290632afe70989af7/bank-tillsynsrapport-2017_eng.pdf
https://www.bde.es/webbe/en/estadisticas/otras-clasificaciones/clasificacion-entidades/listas-instituciones-financieras/listas-instituciones-financieras-monetarias-pais/lista-mfi-se.html
https://support.apple.com/en-us/109516
https://www.irs.gov/pub/fatca/FFIListFull062017.csv
https://gupea.ub.gu.se/bitstreams/c1d131e5-69f5-4662-893c-2b1d4e13ee73/download
https://www.developmentaid.org/donors?showAdvancedFilters=1&amp;sort=tendersTotal.desc&amp;pageSize=100&amp;legalResidences=228</t>
  </si>
  <si>
    <t>Search results confirm Westra Wermlands Sparbank offers consumer loans, car loans, and mortgage loans[1], but no official product pages or specific consumer lending terms (APR, amounts, age, term) are</t>
  </si>
  <si>
    <t>Domain</t>
  </si>
  <si>
    <t>Times CITED
(shaped answers)</t>
  </si>
  <si>
    <t>thebanks.eu</t>
  </si>
  <si>
    <t>support.apple.com</t>
  </si>
  <si>
    <t>bde.es</t>
  </si>
  <si>
    <t>gupea.ub.gu.se</t>
  </si>
  <si>
    <t>fi.se</t>
  </si>
  <si>
    <t>riksgalden.se</t>
  </si>
  <si>
    <t>riksbank.se</t>
  </si>
  <si>
    <t>en.wikipedia.org</t>
  </si>
  <si>
    <t>qonto.com</t>
  </si>
  <si>
    <t>nordiccreditrating.com</t>
  </si>
  <si>
    <t>diva-portal.org</t>
  </si>
  <si>
    <t>zoominfo.com</t>
  </si>
  <si>
    <t>uu.diva-portal.org</t>
  </si>
  <si>
    <t>sparbankensyd.se</t>
  </si>
  <si>
    <t>eu-assets.contentstack.com</t>
  </si>
  <si>
    <t>group.tfbank.se</t>
  </si>
  <si>
    <t>tradersunion.com</t>
  </si>
  <si>
    <t>swedbank.com</t>
  </si>
  <si>
    <t>ecb.europa.eu</t>
  </si>
  <si>
    <t>mwm.ai</t>
  </si>
  <si>
    <t>remitly.com</t>
  </si>
  <si>
    <t>nib.int</t>
  </si>
  <si>
    <t>lansforsakringar.se</t>
  </si>
  <si>
    <t>spglobal.com</t>
  </si>
  <si>
    <t>rocketreach.co</t>
  </si>
  <si>
    <t>nasdaq.com</t>
  </si>
  <si>
    <t>swedbank.lt</t>
  </si>
  <si>
    <t>jpx.co.jp</t>
  </si>
  <si>
    <t>handelsbanken.se</t>
  </si>
  <si>
    <t>goclimate.com</t>
  </si>
  <si>
    <t>group.avarda.com</t>
  </si>
  <si>
    <t>pickthebank.eu</t>
  </si>
  <si>
    <t>nordea.com</t>
  </si>
  <si>
    <t>ereg.ifms.go.ug</t>
  </si>
  <si>
    <t>wsbi-esbg.org</t>
  </si>
  <si>
    <t>enablebanking.com</t>
  </si>
  <si>
    <t>ey.com</t>
  </si>
  <si>
    <t>hitta.se</t>
  </si>
  <si>
    <t>irs.gov</t>
  </si>
  <si>
    <t>developmentaid.org</t>
  </si>
  <si>
    <t>wise.com</t>
  </si>
  <si>
    <t>bank.ikano</t>
  </si>
  <si>
    <t>group.ikano</t>
  </si>
  <si>
    <t>ikano.co.uk</t>
  </si>
  <si>
    <t>ikanobank.se</t>
  </si>
  <si>
    <t>mp.ikano</t>
  </si>
  <si>
    <t>icagruppen.se</t>
  </si>
  <si>
    <t>icabanken.se</t>
  </si>
  <si>
    <t>falkenbergssparbank.se</t>
  </si>
  <si>
    <t>documentation.fliqa.io</t>
  </si>
  <si>
    <t>nordlb.com</t>
  </si>
  <si>
    <t>live.euronext.com</t>
  </si>
  <si>
    <t>investing.com</t>
  </si>
  <si>
    <t>ir.morrowbank.com</t>
  </si>
  <si>
    <t>documenthandler.resurs.com</t>
  </si>
  <si>
    <t>resursholding.com</t>
  </si>
  <si>
    <t>resursbank.fi</t>
  </si>
  <si>
    <t>resursbank.se</t>
  </si>
  <si>
    <t>northmill.com</t>
  </si>
  <si>
    <t>sbab.se</t>
  </si>
  <si>
    <t>carbonaccountingfinancials.com</t>
  </si>
  <si>
    <t>leadiq.com</t>
  </si>
  <si>
    <t>seb.ee</t>
  </si>
  <si>
    <t>seb.lv</t>
  </si>
  <si>
    <t>webapp.sebgroup.com</t>
  </si>
  <si>
    <t>sparbankenbergslagen.se</t>
  </si>
  <si>
    <t>sparbankenmalardalen.se</t>
  </si>
  <si>
    <t>swedfund.se</t>
  </si>
  <si>
    <t>malarplast.se</t>
  </si>
  <si>
    <t>sparbankenvm.se</t>
  </si>
  <si>
    <t>icmagroup.org</t>
  </si>
  <si>
    <t>sparbankensjuharad.se</t>
  </si>
  <si>
    <t>sparbankenskaraborg.se</t>
  </si>
  <si>
    <t>bankinghistory.org</t>
  </si>
  <si>
    <t>ruthassetmanagement.com</t>
  </si>
  <si>
    <t>absolentgroup.com</t>
  </si>
  <si>
    <t>cbinsights.com</t>
  </si>
  <si>
    <t>sparbankenskane.se</t>
  </si>
  <si>
    <t>sparbankenskane-premium.se</t>
  </si>
  <si>
    <t>svea.com</t>
  </si>
  <si>
    <t>sparbankenspira.se</t>
  </si>
  <si>
    <t>skano.com</t>
  </si>
  <si>
    <t>swedbankpay.se</t>
  </si>
  <si>
    <t>owp.klarna.com</t>
  </si>
  <si>
    <t>finanscentralen.fi.se</t>
  </si>
  <si>
    <t>handelsbanken.no</t>
  </si>
  <si>
    <t>handelsbanken.com</t>
  </si>
  <si>
    <t>sormlandssparbank.se</t>
  </si>
  <si>
    <t>sustainax.com</t>
  </si>
  <si>
    <t>kclpure.kcl.ac.uk</t>
  </si>
  <si>
    <t>fi-compass.eu</t>
  </si>
  <si>
    <t>td.com</t>
  </si>
  <si>
    <t>vimmerbysparbank.se</t>
  </si>
  <si>
    <t>tfbank.de</t>
  </si>
  <si>
    <t>formacionpoliticaisc.buenosaires.gob.ar</t>
  </si>
  <si>
    <t>avidafinance.com</t>
  </si>
  <si>
    <t>avarda.com</t>
  </si>
  <si>
    <t>brixo.se</t>
  </si>
  <si>
    <t>brizo.com</t>
  </si>
  <si>
    <t>broccfinance.com</t>
  </si>
  <si>
    <t>preqin.com</t>
  </si>
  <si>
    <t>brocc.se</t>
  </si>
  <si>
    <t>assets.ctfassets.net</t>
  </si>
  <si>
    <t>lffinans.se</t>
  </si>
  <si>
    <t>credento.se</t>
  </si>
  <si>
    <t>digitallibrary.un.org</t>
  </si>
  <si>
    <t>cdn.euclidlibrary.org</t>
  </si>
  <si>
    <t>marxists.org</t>
  </si>
  <si>
    <t>gleaner.newspaperarchive.com</t>
  </si>
  <si>
    <t>openpayments.io</t>
  </si>
  <si>
    <t>viljasolutions.com</t>
  </si>
  <si>
    <t>hhs.se</t>
  </si>
  <si>
    <t>nordea.dk</t>
  </si>
  <si>
    <t>fdic.gov</t>
  </si>
  <si>
    <t>nordea.fi</t>
  </si>
  <si>
    <t>bravida.dk</t>
  </si>
  <si>
    <t>markarydssparbank.se</t>
  </si>
  <si>
    <t>statsskuld.se</t>
  </si>
  <si>
    <t>ltvsparbank.se</t>
  </si>
  <si>
    <t>sv.wikipedia.org</t>
  </si>
  <si>
    <t>infobel.com</t>
  </si>
  <si>
    <t>creditsafe.com</t>
  </si>
  <si>
    <t>lei.bloomberg.com</t>
  </si>
  <si>
    <t>prospeo.io</t>
  </si>
  <si>
    <t>pwc.se</t>
  </si>
  <si>
    <t>salasparbank.se</t>
  </si>
  <si>
    <t>jacobbergdahl.com</t>
  </si>
  <si>
    <t>entercard.com</t>
  </si>
  <si>
    <t>skurupssparbank.se</t>
  </si>
  <si>
    <t>unepfi.org</t>
  </si>
  <si>
    <t>sparbankennord.se</t>
  </si>
  <si>
    <t>media.sparnord.dk</t>
  </si>
  <si>
    <t>sparnord.dk</t>
  </si>
  <si>
    <t>cbonds.com</t>
  </si>
  <si>
    <t>play.google.com</t>
  </si>
  <si>
    <t>dsgv.de</t>
  </si>
  <si>
    <t>sparbankengotland.se</t>
  </si>
  <si>
    <t>ifn.se</t>
  </si>
  <si>
    <t>government.se</t>
  </si>
  <si>
    <t>vastsverige.com</t>
  </si>
  <si>
    <t>sparbankentanum.se</t>
  </si>
  <si>
    <t>seb.se</t>
  </si>
  <si>
    <t>vadstenasparbank.se</t>
  </si>
  <si>
    <t>facitbank.dk</t>
  </si>
  <si>
    <t>facitbank.se</t>
  </si>
  <si>
    <t>eclass.upatras.gr</t>
  </si>
  <si>
    <t>gutenberg.org</t>
  </si>
  <si>
    <t>journals.openedition.org</t>
  </si>
  <si>
    <t>pmc.ncbi.nlm.nih.gov</t>
  </si>
  <si>
    <t>archive.org</t>
  </si>
  <si>
    <t>nordea.se</t>
  </si>
  <si>
    <t>santanderconsumer.no</t>
  </si>
  <si>
    <t>xflowpay.com</t>
  </si>
  <si>
    <t>santanderconsumer.se</t>
  </si>
  <si>
    <t>finanstilsynet.no</t>
  </si>
  <si>
    <t>enterslice.com</t>
  </si>
  <si>
    <t>Perplexity Sonar — Summary</t>
  </si>
  <si>
    <t>Count</t>
  </si>
  <si>
    <t>Metric</t>
  </si>
  <si>
    <t>Value</t>
  </si>
  <si>
    <t>Total lenders</t>
  </si>
  <si>
    <t>Web searches triggered</t>
  </si>
  <si>
    <t>Total web searches run</t>
  </si>
  <si>
    <t>Total cited URLs/domains</t>
  </si>
  <si>
    <t>Banks with any citation</t>
  </si>
  <si>
    <t>Avg searches per lender</t>
  </si>
  <si>
    <t>Banks with empty Min APR</t>
  </si>
  <si>
    <t>Methodology</t>
  </si>
  <si>
    <t>Model</t>
  </si>
  <si>
    <t>sonar (Perplexity Chat Completions API)</t>
  </si>
  <si>
    <t>Endpoint</t>
  </si>
  <si>
    <t>https://api.perplexity.ai/chat/completions</t>
  </si>
  <si>
    <t>Web search tool</t>
  </si>
  <si>
    <t>Built-in native search — Perplexity always searches the web.</t>
  </si>
  <si>
    <t>Date run</t>
  </si>
  <si>
    <t>April 2026</t>
  </si>
  <si>
    <t>Citation behavior</t>
  </si>
  <si>
    <t>Perplexity returns a citations array with URLs (and sometimes titles/snippets) for every source consulted.</t>
  </si>
  <si>
    <t>Reliability</t>
  </si>
  <si>
    <t>Concurrency=3, 51/51 successful with retries for rate-limited requests.</t>
  </si>
  <si>
    <t>Input data</t>
  </si>
  <si>
    <t>Dataset With Banks For AI Search - Sheet1.csv — 51 Swedish/Scandinavian credit institutions</t>
  </si>
  <si>
    <t>Purpose</t>
  </si>
  <si>
    <t>Mimics a real user asking 'What are the loan terms for [Bank]?' — the model decides whether to search and returns structured JSON.</t>
  </si>
  <si>
    <t>Caveat</t>
  </si>
  <si>
    <t>Rates and terms change. This data reflects live web results as of the run date.</t>
  </si>
  <si>
    <t>Perplexity sonar — run_2 — APR rate-type classification</t>
  </si>
  <si>
    <t>Labels: effective = 'effektiv ränta' (Swedish APR). nominal = 'nominell' / 'årsränta' / 'rörlig ränta' / 'fast ränta' / 'kreditränta'. representative_example = 'räkneexempel' / 'representativt exempel'. unlabeled = no anchor within 80 chars of the APR number in this provider's cached response.</t>
  </si>
  <si>
    <t>Classification reads only this provider's own cached response (apr_range → notes → citation snippets). Ground-truth data is NOT consulted.</t>
  </si>
  <si>
    <t>APR Raw (from model)</t>
  </si>
  <si>
    <t>Rate Type</t>
  </si>
  <si>
    <t>Anchor Evidence</t>
  </si>
  <si>
    <t>Source Field</t>
  </si>
  <si>
    <t>nominal</t>
  </si>
  <si>
    <t>Variable interest rate</t>
  </si>
  <si>
    <t>notes</t>
  </si>
  <si>
    <t>unlabeled</t>
  </si>
  <si>
    <t>no_apr_in_response</t>
  </si>
  <si>
    <t>2.79% - 2.99%</t>
  </si>
  <si>
    <t>no_anchor_near_apr</t>
  </si>
  <si>
    <t>effective</t>
  </si>
  <si>
    <t>APR</t>
  </si>
  <si>
    <t>2.99% - 2.99% (3-year fixed)</t>
  </si>
  <si>
    <t>fixed rate</t>
  </si>
  <si>
    <t>4.95%–12.95%</t>
  </si>
  <si>
    <t>8.2% - 28.8%</t>
  </si>
  <si>
    <t>Summary</t>
  </si>
  <si>
    <t>representative_example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</si>
</sst>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9.0"/>
      <color theme="1"/>
      <name val="Arial"/>
    </font>
    <font>
      <b/>
      <sz val="9.0"/>
      <color theme="1"/>
      <name val="Arial"/>
    </font>
    <font>
      <b/>
      <sz val="13.0"/>
      <color rgb="FFFFFFFF"/>
      <name val="Arial"/>
    </font>
    <font/>
    <font>
      <b/>
      <sz val="13.0"/>
      <color theme="1"/>
      <name val="Calibri"/>
      <scheme val="minor"/>
    </font>
    <font>
      <sz val="11.0"/>
      <color theme="1"/>
      <name val="Calibri"/>
    </font>
    <font>
      <b/>
      <color rgb="FFFFFFFF"/>
      <name val="Calibri"/>
      <scheme val="minor"/>
    </font>
    <font>
      <b/>
      <color theme="1"/>
      <name val="Calibri"/>
      <scheme val="minor"/>
    </font>
    <font>
      <color theme="1"/>
      <name val="Calibri"/>
      <scheme val="minor"/>
    </font>
  </fonts>
  <fills count="13">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DAEEF3"/>
        <bgColor rgb="FFDAEEF3"/>
      </patternFill>
    </fill>
    <fill>
      <patternFill patternType="solid">
        <fgColor rgb="FFE2EFDA"/>
        <bgColor rgb="FFE2EFDA"/>
      </patternFill>
    </fill>
    <fill>
      <patternFill patternType="solid">
        <fgColor rgb="FFFCE4D6"/>
        <bgColor rgb="FFFCE4D6"/>
      </patternFill>
    </fill>
    <fill>
      <patternFill patternType="solid">
        <fgColor rgb="FFFFFDE7"/>
        <bgColor rgb="FFFFFDE7"/>
      </patternFill>
    </fill>
    <fill>
      <patternFill patternType="solid">
        <fgColor rgb="FFF0F0F0"/>
        <bgColor rgb="FFF0F0F0"/>
      </patternFill>
    </fill>
    <fill>
      <patternFill patternType="solid">
        <fgColor rgb="FFE8E8F4"/>
        <bgColor rgb="FFE8E8F4"/>
      </patternFill>
    </fill>
    <fill>
      <patternFill patternType="solid">
        <fgColor rgb="FF2E75B6"/>
        <bgColor rgb="FF2E75B6"/>
      </patternFill>
    </fill>
    <fill>
      <patternFill patternType="solid">
        <fgColor rgb="FFF2F2F2"/>
        <bgColor rgb="FFF2F2F2"/>
      </patternFill>
    </fill>
    <fill>
      <patternFill patternType="solid">
        <fgColor rgb="FF305496"/>
        <bgColor rgb="FF305496"/>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shrinkToFit="0" vertical="top" wrapText="1"/>
    </xf>
    <xf borderId="1" fillId="3" fontId="3" numFmtId="0" xfId="0" applyAlignment="1" applyBorder="1" applyFont="1">
      <alignment vertical="top"/>
    </xf>
    <xf borderId="1" fillId="5" fontId="3" numFmtId="0" xfId="0" applyAlignment="1" applyBorder="1" applyFill="1" applyFont="1">
      <alignment vertical="top"/>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2" numFmtId="0" xfId="0" applyAlignment="1" applyBorder="1" applyFont="1">
      <alignment vertical="top"/>
    </xf>
    <xf borderId="1" fillId="8" fontId="2" numFmtId="0" xfId="0" applyAlignment="1" applyBorder="1" applyFill="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1" fillId="9" fontId="2" numFmtId="0" xfId="0" applyAlignment="1" applyBorder="1" applyFill="1" applyFont="1">
      <alignment vertical="top"/>
    </xf>
    <xf borderId="1" fillId="0" fontId="2" numFmtId="0" xfId="0" applyAlignment="1" applyBorder="1" applyFont="1">
      <alignment readingOrder="0" shrinkToFit="0" vertical="top" wrapText="1"/>
    </xf>
    <xf borderId="2" fillId="2" fontId="4" numFmtId="0" xfId="0" applyAlignment="1" applyBorder="1" applyFont="1">
      <alignment horizontal="center"/>
    </xf>
    <xf borderId="3" fillId="0" fontId="5" numFmtId="0" xfId="0" applyBorder="1" applyFont="1"/>
    <xf borderId="4" fillId="0" fontId="5" numFmtId="0" xfId="0" applyBorder="1" applyFont="1"/>
    <xf borderId="1" fillId="10" fontId="1" numFmtId="0" xfId="0" applyAlignment="1" applyBorder="1" applyFill="1" applyFont="1">
      <alignment horizontal="center" shrinkToFit="0" vertical="center" wrapText="1"/>
    </xf>
    <xf borderId="0" fillId="0" fontId="6" numFmtId="0" xfId="0" applyFont="1"/>
    <xf borderId="2" fillId="11" fontId="7" numFmtId="0" xfId="0" applyAlignment="1" applyBorder="1" applyFill="1" applyFont="1">
      <alignment shrinkToFit="0" vertical="top" wrapText="1"/>
    </xf>
    <xf borderId="5" fillId="12" fontId="8" numFmtId="0" xfId="0" applyAlignment="1" applyBorder="1" applyFill="1" applyFont="1">
      <alignment shrinkToFit="0" vertical="center" wrapText="1"/>
    </xf>
    <xf borderId="0" fillId="0" fontId="7"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0.0"/>
    <col customWidth="1" min="3" max="3" width="46.0"/>
    <col customWidth="1" min="4" max="5" width="11.0"/>
    <col customWidth="1" min="6" max="7" width="18.0"/>
    <col customWidth="1" min="8" max="8" width="11.0"/>
    <col customWidth="1" min="9" max="9" width="16.0"/>
    <col customWidth="1" min="10" max="10" width="13.0"/>
    <col customWidth="1" min="11" max="11" width="38.0"/>
    <col customWidth="1" min="12" max="12" width="58.0"/>
    <col customWidth="1" min="13" max="13" width="50.0"/>
    <col customWidth="1" min="14" max="14" width="42.0"/>
    <col customWidth="1" min="15" max="15" width="55.0"/>
    <col customWidth="1" min="16" max="16" width="42.0"/>
    <col customWidth="1" min="17" max="26"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5"/>
      <c r="E2" s="5"/>
      <c r="F2" s="4" t="s">
        <v>19</v>
      </c>
      <c r="G2" s="4" t="s">
        <v>19</v>
      </c>
      <c r="H2" s="2" t="s">
        <v>19</v>
      </c>
      <c r="I2" s="4" t="s">
        <v>19</v>
      </c>
      <c r="J2" s="6">
        <v>7.0</v>
      </c>
      <c r="K2" s="7" t="s">
        <v>20</v>
      </c>
      <c r="L2" s="8" t="s">
        <v>21</v>
      </c>
      <c r="M2" s="8"/>
      <c r="N2" s="8" t="s">
        <v>22</v>
      </c>
      <c r="O2" s="4" t="s">
        <v>23</v>
      </c>
      <c r="P2" s="2" t="s">
        <v>24</v>
      </c>
    </row>
    <row r="3">
      <c r="A3" s="9" t="s">
        <v>25</v>
      </c>
      <c r="B3" s="10" t="s">
        <v>19</v>
      </c>
      <c r="C3" s="11"/>
      <c r="D3" s="12"/>
      <c r="E3" s="12"/>
      <c r="F3" s="11"/>
      <c r="G3" s="11"/>
      <c r="H3" s="9"/>
      <c r="I3" s="11"/>
      <c r="J3" s="6">
        <v>5.0</v>
      </c>
      <c r="K3" s="7" t="s">
        <v>20</v>
      </c>
      <c r="L3" s="8" t="s">
        <v>26</v>
      </c>
      <c r="M3" s="8"/>
      <c r="N3" s="8" t="s">
        <v>22</v>
      </c>
      <c r="O3" s="11" t="s">
        <v>27</v>
      </c>
      <c r="P3" s="9" t="s">
        <v>24</v>
      </c>
    </row>
    <row r="4">
      <c r="A4" s="9" t="s">
        <v>28</v>
      </c>
      <c r="B4" s="3" t="s">
        <v>17</v>
      </c>
      <c r="C4" s="11" t="s">
        <v>29</v>
      </c>
      <c r="D4" s="12"/>
      <c r="E4" s="12"/>
      <c r="F4" s="11" t="s">
        <v>30</v>
      </c>
      <c r="G4" s="11" t="s">
        <v>19</v>
      </c>
      <c r="H4" s="9" t="s">
        <v>19</v>
      </c>
      <c r="I4" s="11" t="s">
        <v>19</v>
      </c>
      <c r="J4" s="6">
        <v>4.0</v>
      </c>
      <c r="K4" s="7" t="s">
        <v>20</v>
      </c>
      <c r="L4" s="8" t="s">
        <v>31</v>
      </c>
      <c r="M4" s="8"/>
      <c r="N4" s="8" t="s">
        <v>22</v>
      </c>
      <c r="O4" s="11" t="s">
        <v>32</v>
      </c>
      <c r="P4" s="9" t="s">
        <v>24</v>
      </c>
    </row>
    <row r="5">
      <c r="A5" s="2" t="s">
        <v>33</v>
      </c>
      <c r="B5" s="3" t="s">
        <v>17</v>
      </c>
      <c r="C5" s="4" t="s">
        <v>34</v>
      </c>
      <c r="D5" s="5"/>
      <c r="E5" s="5"/>
      <c r="F5" s="4" t="s">
        <v>19</v>
      </c>
      <c r="G5" s="4" t="s">
        <v>19</v>
      </c>
      <c r="H5" s="2" t="s">
        <v>19</v>
      </c>
      <c r="I5" s="4" t="s">
        <v>19</v>
      </c>
      <c r="J5" s="6">
        <v>9.0</v>
      </c>
      <c r="K5" s="7" t="s">
        <v>20</v>
      </c>
      <c r="L5" s="8" t="s">
        <v>35</v>
      </c>
      <c r="M5" s="8"/>
      <c r="N5" s="8" t="s">
        <v>22</v>
      </c>
      <c r="O5" s="4" t="s">
        <v>36</v>
      </c>
      <c r="P5" s="2" t="s">
        <v>24</v>
      </c>
    </row>
    <row r="6">
      <c r="A6" s="2" t="s">
        <v>37</v>
      </c>
      <c r="B6" s="3" t="s">
        <v>17</v>
      </c>
      <c r="C6" s="4" t="s">
        <v>38</v>
      </c>
      <c r="D6" s="5"/>
      <c r="E6" s="5"/>
      <c r="F6" s="4" t="s">
        <v>39</v>
      </c>
      <c r="G6" s="4" t="s">
        <v>19</v>
      </c>
      <c r="H6" s="2" t="s">
        <v>19</v>
      </c>
      <c r="I6" s="4" t="s">
        <v>19</v>
      </c>
      <c r="J6" s="6">
        <v>8.0</v>
      </c>
      <c r="K6" s="7" t="s">
        <v>20</v>
      </c>
      <c r="L6" s="8" t="s">
        <v>40</v>
      </c>
      <c r="M6" s="8"/>
      <c r="N6" s="8" t="s">
        <v>22</v>
      </c>
      <c r="O6" s="4" t="s">
        <v>41</v>
      </c>
      <c r="P6" s="2" t="s">
        <v>24</v>
      </c>
    </row>
    <row r="7">
      <c r="A7" s="9" t="s">
        <v>42</v>
      </c>
      <c r="B7" s="10" t="s">
        <v>19</v>
      </c>
      <c r="C7" s="11"/>
      <c r="D7" s="12"/>
      <c r="E7" s="12"/>
      <c r="F7" s="11"/>
      <c r="G7" s="11"/>
      <c r="H7" s="9"/>
      <c r="I7" s="11"/>
      <c r="J7" s="6">
        <v>9.0</v>
      </c>
      <c r="K7" s="7" t="s">
        <v>20</v>
      </c>
      <c r="L7" s="8" t="s">
        <v>43</v>
      </c>
      <c r="M7" s="8"/>
      <c r="N7" s="8" t="s">
        <v>22</v>
      </c>
      <c r="O7" s="11" t="s">
        <v>44</v>
      </c>
      <c r="P7" s="9" t="s">
        <v>24</v>
      </c>
    </row>
    <row r="8">
      <c r="A8" s="2" t="s">
        <v>45</v>
      </c>
      <c r="B8" s="10" t="s">
        <v>19</v>
      </c>
      <c r="C8" s="4"/>
      <c r="D8" s="5"/>
      <c r="E8" s="5"/>
      <c r="F8" s="4"/>
      <c r="G8" s="4"/>
      <c r="H8" s="2"/>
      <c r="I8" s="4"/>
      <c r="J8" s="6">
        <v>6.0</v>
      </c>
      <c r="K8" s="7" t="s">
        <v>20</v>
      </c>
      <c r="L8" s="8" t="s">
        <v>46</v>
      </c>
      <c r="M8" s="8"/>
      <c r="N8" s="8" t="s">
        <v>22</v>
      </c>
      <c r="O8" s="4"/>
      <c r="P8" s="2" t="s">
        <v>24</v>
      </c>
    </row>
    <row r="9">
      <c r="A9" s="2" t="s">
        <v>47</v>
      </c>
      <c r="B9" s="10" t="s">
        <v>19</v>
      </c>
      <c r="C9" s="4"/>
      <c r="D9" s="5"/>
      <c r="E9" s="5"/>
      <c r="F9" s="4"/>
      <c r="G9" s="4"/>
      <c r="H9" s="2"/>
      <c r="I9" s="4"/>
      <c r="J9" s="6">
        <v>5.0</v>
      </c>
      <c r="K9" s="7" t="s">
        <v>20</v>
      </c>
      <c r="L9" s="8" t="s">
        <v>48</v>
      </c>
      <c r="M9" s="8"/>
      <c r="N9" s="8" t="s">
        <v>22</v>
      </c>
      <c r="O9" s="4"/>
      <c r="P9" s="2" t="s">
        <v>24</v>
      </c>
    </row>
    <row r="10">
      <c r="A10" s="9" t="s">
        <v>49</v>
      </c>
      <c r="B10" s="10" t="s">
        <v>19</v>
      </c>
      <c r="C10" s="11"/>
      <c r="D10" s="12"/>
      <c r="E10" s="12"/>
      <c r="F10" s="11"/>
      <c r="G10" s="11"/>
      <c r="H10" s="9"/>
      <c r="I10" s="11"/>
      <c r="J10" s="6">
        <v>9.0</v>
      </c>
      <c r="K10" s="7" t="s">
        <v>20</v>
      </c>
      <c r="L10" s="8" t="s">
        <v>50</v>
      </c>
      <c r="M10" s="8"/>
      <c r="N10" s="8" t="s">
        <v>22</v>
      </c>
      <c r="O10" s="11"/>
      <c r="P10" s="9" t="s">
        <v>24</v>
      </c>
    </row>
    <row r="11">
      <c r="A11" s="2" t="s">
        <v>51</v>
      </c>
      <c r="B11" s="3" t="s">
        <v>17</v>
      </c>
      <c r="C11" s="4" t="s">
        <v>52</v>
      </c>
      <c r="D11" s="5" t="s">
        <v>53</v>
      </c>
      <c r="E11" s="5" t="s">
        <v>53</v>
      </c>
      <c r="F11" s="4" t="s">
        <v>54</v>
      </c>
      <c r="G11" s="4" t="s">
        <v>54</v>
      </c>
      <c r="H11" s="2" t="s">
        <v>54</v>
      </c>
      <c r="I11" s="4" t="s">
        <v>54</v>
      </c>
      <c r="J11" s="6">
        <v>9.0</v>
      </c>
      <c r="K11" s="7" t="s">
        <v>20</v>
      </c>
      <c r="L11" s="8" t="s">
        <v>55</v>
      </c>
      <c r="M11" s="8"/>
      <c r="N11" s="8" t="s">
        <v>22</v>
      </c>
      <c r="O11" s="4" t="s">
        <v>56</v>
      </c>
      <c r="P11" s="2" t="s">
        <v>24</v>
      </c>
    </row>
    <row r="12">
      <c r="A12" s="2" t="s">
        <v>57</v>
      </c>
      <c r="B12" s="10" t="s">
        <v>19</v>
      </c>
      <c r="C12" s="4"/>
      <c r="D12" s="5"/>
      <c r="E12" s="5"/>
      <c r="F12" s="4"/>
      <c r="G12" s="4"/>
      <c r="H12" s="2"/>
      <c r="I12" s="4"/>
      <c r="J12" s="6">
        <v>4.0</v>
      </c>
      <c r="K12" s="7" t="s">
        <v>20</v>
      </c>
      <c r="L12" s="8" t="s">
        <v>58</v>
      </c>
      <c r="M12" s="8"/>
      <c r="N12" s="8" t="s">
        <v>22</v>
      </c>
      <c r="O12" s="4" t="s">
        <v>59</v>
      </c>
      <c r="P12" s="2" t="s">
        <v>24</v>
      </c>
    </row>
    <row r="13">
      <c r="A13" s="9" t="s">
        <v>60</v>
      </c>
      <c r="B13" s="10" t="s">
        <v>19</v>
      </c>
      <c r="C13" s="11"/>
      <c r="D13" s="12"/>
      <c r="E13" s="12"/>
      <c r="F13" s="11"/>
      <c r="G13" s="11"/>
      <c r="H13" s="9"/>
      <c r="I13" s="11"/>
      <c r="J13" s="6">
        <v>10.0</v>
      </c>
      <c r="K13" s="7" t="s">
        <v>20</v>
      </c>
      <c r="L13" s="8" t="s">
        <v>61</v>
      </c>
      <c r="M13" s="8"/>
      <c r="N13" s="8" t="s">
        <v>22</v>
      </c>
      <c r="O13" s="11" t="s">
        <v>62</v>
      </c>
      <c r="P13" s="9" t="s">
        <v>24</v>
      </c>
    </row>
    <row r="14">
      <c r="A14" s="9" t="s">
        <v>63</v>
      </c>
      <c r="B14" s="13" t="s">
        <v>64</v>
      </c>
      <c r="C14" s="11" t="s">
        <v>65</v>
      </c>
      <c r="D14" s="12"/>
      <c r="E14" s="12"/>
      <c r="F14" s="11"/>
      <c r="G14" s="11" t="s">
        <v>19</v>
      </c>
      <c r="H14" s="9" t="s">
        <v>19</v>
      </c>
      <c r="I14" s="11" t="s">
        <v>66</v>
      </c>
      <c r="J14" s="6">
        <v>9.0</v>
      </c>
      <c r="K14" s="7" t="s">
        <v>20</v>
      </c>
      <c r="L14" s="8" t="s">
        <v>67</v>
      </c>
      <c r="M14" s="8"/>
      <c r="N14" s="8" t="s">
        <v>22</v>
      </c>
      <c r="O14" s="11" t="s">
        <v>68</v>
      </c>
      <c r="P14" s="9" t="s">
        <v>24</v>
      </c>
    </row>
    <row r="15">
      <c r="A15" s="9" t="s">
        <v>69</v>
      </c>
      <c r="B15" s="3" t="s">
        <v>17</v>
      </c>
      <c r="C15" s="11" t="s">
        <v>70</v>
      </c>
      <c r="D15" s="12"/>
      <c r="E15" s="12"/>
      <c r="F15" s="11" t="s">
        <v>71</v>
      </c>
      <c r="G15" s="11" t="s">
        <v>72</v>
      </c>
      <c r="H15" s="9" t="s">
        <v>73</v>
      </c>
      <c r="I15" s="11" t="s">
        <v>74</v>
      </c>
      <c r="J15" s="6">
        <v>10.0</v>
      </c>
      <c r="K15" s="7" t="s">
        <v>20</v>
      </c>
      <c r="L15" s="8" t="s">
        <v>75</v>
      </c>
      <c r="M15" s="8"/>
      <c r="N15" s="8" t="s">
        <v>22</v>
      </c>
      <c r="O15" s="11" t="s">
        <v>76</v>
      </c>
      <c r="P15" s="9" t="s">
        <v>24</v>
      </c>
    </row>
    <row r="16">
      <c r="A16" s="2" t="s">
        <v>77</v>
      </c>
      <c r="B16" s="10" t="s">
        <v>19</v>
      </c>
      <c r="C16" s="4"/>
      <c r="D16" s="5"/>
      <c r="E16" s="5"/>
      <c r="F16" s="4"/>
      <c r="G16" s="4"/>
      <c r="H16" s="2"/>
      <c r="I16" s="4"/>
      <c r="J16" s="6">
        <v>10.0</v>
      </c>
      <c r="K16" s="7" t="s">
        <v>20</v>
      </c>
      <c r="L16" s="8" t="s">
        <v>78</v>
      </c>
      <c r="M16" s="8"/>
      <c r="N16" s="8" t="s">
        <v>22</v>
      </c>
      <c r="O16" s="4" t="s">
        <v>79</v>
      </c>
      <c r="P16" s="2" t="s">
        <v>24</v>
      </c>
    </row>
    <row r="17">
      <c r="A17" s="9" t="s">
        <v>80</v>
      </c>
      <c r="B17" s="10" t="s">
        <v>19</v>
      </c>
      <c r="C17" s="11"/>
      <c r="D17" s="12"/>
      <c r="E17" s="12"/>
      <c r="F17" s="11"/>
      <c r="G17" s="11"/>
      <c r="H17" s="9"/>
      <c r="I17" s="11"/>
      <c r="J17" s="6">
        <v>7.0</v>
      </c>
      <c r="K17" s="7" t="s">
        <v>20</v>
      </c>
      <c r="L17" s="8" t="s">
        <v>81</v>
      </c>
      <c r="M17" s="8"/>
      <c r="N17" s="8" t="s">
        <v>22</v>
      </c>
      <c r="O17" s="11"/>
      <c r="P17" s="9" t="s">
        <v>24</v>
      </c>
    </row>
    <row r="18">
      <c r="A18" s="9" t="s">
        <v>82</v>
      </c>
      <c r="B18" s="10" t="s">
        <v>19</v>
      </c>
      <c r="C18" s="11" t="s">
        <v>83</v>
      </c>
      <c r="D18" s="12"/>
      <c r="E18" s="12"/>
      <c r="F18" s="11" t="s">
        <v>84</v>
      </c>
      <c r="G18" s="11" t="s">
        <v>84</v>
      </c>
      <c r="H18" s="9" t="s">
        <v>84</v>
      </c>
      <c r="I18" s="11" t="s">
        <v>84</v>
      </c>
      <c r="J18" s="6">
        <v>6.0</v>
      </c>
      <c r="K18" s="7" t="s">
        <v>20</v>
      </c>
      <c r="L18" s="8" t="s">
        <v>85</v>
      </c>
      <c r="M18" s="8"/>
      <c r="N18" s="8" t="s">
        <v>22</v>
      </c>
      <c r="O18" s="11" t="s">
        <v>86</v>
      </c>
      <c r="P18" s="9" t="s">
        <v>24</v>
      </c>
    </row>
    <row r="19">
      <c r="A19" s="9" t="s">
        <v>87</v>
      </c>
      <c r="B19" s="10" t="s">
        <v>19</v>
      </c>
      <c r="C19" s="11"/>
      <c r="D19" s="12"/>
      <c r="E19" s="12"/>
      <c r="F19" s="11"/>
      <c r="G19" s="11"/>
      <c r="H19" s="9"/>
      <c r="I19" s="11"/>
      <c r="J19" s="6">
        <v>5.0</v>
      </c>
      <c r="K19" s="7" t="s">
        <v>20</v>
      </c>
      <c r="L19" s="8" t="s">
        <v>88</v>
      </c>
      <c r="M19" s="8"/>
      <c r="N19" s="8" t="s">
        <v>22</v>
      </c>
      <c r="O19" s="11"/>
      <c r="P19" s="9" t="s">
        <v>24</v>
      </c>
    </row>
    <row r="20">
      <c r="A20" s="2" t="s">
        <v>89</v>
      </c>
      <c r="B20" s="10" t="s">
        <v>19</v>
      </c>
      <c r="C20" s="4" t="s">
        <v>90</v>
      </c>
      <c r="D20" s="5"/>
      <c r="E20" s="5"/>
      <c r="F20" s="4"/>
      <c r="G20" s="4"/>
      <c r="H20" s="2"/>
      <c r="I20" s="4"/>
      <c r="J20" s="6">
        <v>6.0</v>
      </c>
      <c r="K20" s="7" t="s">
        <v>20</v>
      </c>
      <c r="L20" s="8" t="s">
        <v>91</v>
      </c>
      <c r="M20" s="8"/>
      <c r="N20" s="8" t="s">
        <v>22</v>
      </c>
      <c r="O20" s="4" t="s">
        <v>92</v>
      </c>
      <c r="P20" s="2" t="s">
        <v>24</v>
      </c>
    </row>
    <row r="21" ht="15.75" customHeight="1">
      <c r="A21" s="2" t="s">
        <v>93</v>
      </c>
      <c r="B21" s="3" t="s">
        <v>17</v>
      </c>
      <c r="C21" s="4" t="s">
        <v>94</v>
      </c>
      <c r="D21" s="5" t="s">
        <v>95</v>
      </c>
      <c r="E21" s="5" t="s">
        <v>96</v>
      </c>
      <c r="F21" s="4" t="s">
        <v>97</v>
      </c>
      <c r="G21" s="4" t="s">
        <v>98</v>
      </c>
      <c r="H21" s="2" t="s">
        <v>73</v>
      </c>
      <c r="I21" s="4" t="s">
        <v>99</v>
      </c>
      <c r="J21" s="6">
        <v>10.0</v>
      </c>
      <c r="K21" s="7" t="s">
        <v>20</v>
      </c>
      <c r="L21" s="8" t="s">
        <v>100</v>
      </c>
      <c r="M21" s="8"/>
      <c r="N21" s="8" t="s">
        <v>22</v>
      </c>
      <c r="O21" s="4" t="s">
        <v>101</v>
      </c>
      <c r="P21" s="2" t="s">
        <v>24</v>
      </c>
    </row>
    <row r="22" ht="15.75" customHeight="1">
      <c r="A22" s="2" t="s">
        <v>102</v>
      </c>
      <c r="B22" s="3" t="s">
        <v>17</v>
      </c>
      <c r="C22" s="4"/>
      <c r="D22" s="5"/>
      <c r="E22" s="5"/>
      <c r="F22" s="4" t="s">
        <v>19</v>
      </c>
      <c r="G22" s="4" t="s">
        <v>19</v>
      </c>
      <c r="H22" s="2" t="s">
        <v>19</v>
      </c>
      <c r="I22" s="4" t="s">
        <v>19</v>
      </c>
      <c r="J22" s="6">
        <v>9.0</v>
      </c>
      <c r="K22" s="7" t="s">
        <v>20</v>
      </c>
      <c r="L22" s="8" t="s">
        <v>103</v>
      </c>
      <c r="M22" s="8"/>
      <c r="N22" s="8" t="s">
        <v>22</v>
      </c>
      <c r="O22" s="4" t="s">
        <v>104</v>
      </c>
      <c r="P22" s="2" t="s">
        <v>24</v>
      </c>
    </row>
    <row r="23" ht="15.75" customHeight="1">
      <c r="A23" s="2" t="s">
        <v>105</v>
      </c>
      <c r="B23" s="3" t="s">
        <v>17</v>
      </c>
      <c r="C23" s="4" t="s">
        <v>106</v>
      </c>
      <c r="D23" s="5"/>
      <c r="E23" s="5"/>
      <c r="F23" s="4" t="s">
        <v>107</v>
      </c>
      <c r="G23" s="4" t="s">
        <v>54</v>
      </c>
      <c r="H23" s="2" t="s">
        <v>54</v>
      </c>
      <c r="I23" s="4" t="s">
        <v>19</v>
      </c>
      <c r="J23" s="6">
        <v>8.0</v>
      </c>
      <c r="K23" s="7" t="s">
        <v>20</v>
      </c>
      <c r="L23" s="8" t="s">
        <v>108</v>
      </c>
      <c r="M23" s="8"/>
      <c r="N23" s="8" t="s">
        <v>22</v>
      </c>
      <c r="O23" s="4" t="s">
        <v>109</v>
      </c>
      <c r="P23" s="2" t="s">
        <v>24</v>
      </c>
    </row>
    <row r="24" ht="15.75" customHeight="1">
      <c r="A24" s="9" t="s">
        <v>110</v>
      </c>
      <c r="B24" s="3" t="s">
        <v>17</v>
      </c>
      <c r="C24" s="11" t="s">
        <v>111</v>
      </c>
      <c r="D24" s="12"/>
      <c r="E24" s="12"/>
      <c r="F24" s="11" t="s">
        <v>112</v>
      </c>
      <c r="G24" s="11" t="s">
        <v>19</v>
      </c>
      <c r="H24" s="9" t="s">
        <v>19</v>
      </c>
      <c r="I24" s="11" t="s">
        <v>19</v>
      </c>
      <c r="J24" s="6">
        <v>10.0</v>
      </c>
      <c r="K24" s="7" t="s">
        <v>20</v>
      </c>
      <c r="L24" s="8" t="s">
        <v>113</v>
      </c>
      <c r="M24" s="8"/>
      <c r="N24" s="8" t="s">
        <v>22</v>
      </c>
      <c r="O24" s="11" t="s">
        <v>114</v>
      </c>
      <c r="P24" s="9" t="s">
        <v>24</v>
      </c>
    </row>
    <row r="25" ht="15.75" customHeight="1">
      <c r="A25" s="2" t="s">
        <v>115</v>
      </c>
      <c r="B25" s="10" t="s">
        <v>19</v>
      </c>
      <c r="C25" s="4" t="s">
        <v>116</v>
      </c>
      <c r="D25" s="5"/>
      <c r="E25" s="5"/>
      <c r="F25" s="4" t="s">
        <v>54</v>
      </c>
      <c r="G25" s="4" t="s">
        <v>54</v>
      </c>
      <c r="H25" s="2" t="s">
        <v>54</v>
      </c>
      <c r="I25" s="4" t="s">
        <v>54</v>
      </c>
      <c r="J25" s="6">
        <v>4.0</v>
      </c>
      <c r="K25" s="7" t="s">
        <v>20</v>
      </c>
      <c r="L25" s="8" t="s">
        <v>117</v>
      </c>
      <c r="M25" s="8"/>
      <c r="N25" s="8" t="s">
        <v>22</v>
      </c>
      <c r="O25" s="4" t="s">
        <v>118</v>
      </c>
      <c r="P25" s="2" t="s">
        <v>24</v>
      </c>
    </row>
    <row r="26" ht="15.75" customHeight="1">
      <c r="A26" s="2" t="s">
        <v>119</v>
      </c>
      <c r="B26" s="10" t="s">
        <v>19</v>
      </c>
      <c r="C26" s="4"/>
      <c r="D26" s="5"/>
      <c r="E26" s="5"/>
      <c r="F26" s="4"/>
      <c r="G26" s="4"/>
      <c r="H26" s="2"/>
      <c r="I26" s="4"/>
      <c r="J26" s="6">
        <v>8.0</v>
      </c>
      <c r="K26" s="7" t="s">
        <v>20</v>
      </c>
      <c r="L26" s="8" t="s">
        <v>120</v>
      </c>
      <c r="M26" s="8"/>
      <c r="N26" s="8" t="s">
        <v>22</v>
      </c>
      <c r="O26" s="4"/>
      <c r="P26" s="2" t="s">
        <v>24</v>
      </c>
    </row>
    <row r="27" ht="15.75" customHeight="1">
      <c r="A27" s="9" t="s">
        <v>121</v>
      </c>
      <c r="B27" s="3" t="s">
        <v>17</v>
      </c>
      <c r="C27" s="11" t="s">
        <v>122</v>
      </c>
      <c r="D27" s="12" t="s">
        <v>123</v>
      </c>
      <c r="E27" s="12" t="s">
        <v>124</v>
      </c>
      <c r="F27" s="11" t="s">
        <v>125</v>
      </c>
      <c r="G27" s="11" t="s">
        <v>126</v>
      </c>
      <c r="H27" s="9" t="s">
        <v>19</v>
      </c>
      <c r="I27" s="11" t="s">
        <v>127</v>
      </c>
      <c r="J27" s="6">
        <v>9.0</v>
      </c>
      <c r="K27" s="7" t="s">
        <v>20</v>
      </c>
      <c r="L27" s="8" t="s">
        <v>128</v>
      </c>
      <c r="M27" s="8"/>
      <c r="N27" s="8" t="s">
        <v>22</v>
      </c>
      <c r="O27" s="11" t="s">
        <v>129</v>
      </c>
      <c r="P27" s="9" t="s">
        <v>24</v>
      </c>
    </row>
    <row r="28" ht="15.75" customHeight="1">
      <c r="A28" s="9" t="s">
        <v>130</v>
      </c>
      <c r="B28" s="13" t="s">
        <v>64</v>
      </c>
      <c r="C28" s="11" t="s">
        <v>131</v>
      </c>
      <c r="D28" s="12"/>
      <c r="E28" s="12"/>
      <c r="F28" s="11" t="s">
        <v>19</v>
      </c>
      <c r="G28" s="11" t="s">
        <v>19</v>
      </c>
      <c r="H28" s="9" t="s">
        <v>19</v>
      </c>
      <c r="I28" s="11" t="s">
        <v>19</v>
      </c>
      <c r="J28" s="6">
        <v>9.0</v>
      </c>
      <c r="K28" s="7" t="s">
        <v>20</v>
      </c>
      <c r="L28" s="8" t="s">
        <v>132</v>
      </c>
      <c r="M28" s="8"/>
      <c r="N28" s="8" t="s">
        <v>22</v>
      </c>
      <c r="O28" s="11" t="s">
        <v>133</v>
      </c>
      <c r="P28" s="9" t="s">
        <v>24</v>
      </c>
    </row>
    <row r="29" ht="15.75" customHeight="1">
      <c r="A29" s="9" t="s">
        <v>134</v>
      </c>
      <c r="B29" s="10" t="s">
        <v>19</v>
      </c>
      <c r="C29" s="11"/>
      <c r="D29" s="12"/>
      <c r="E29" s="12"/>
      <c r="F29" s="11"/>
      <c r="G29" s="11"/>
      <c r="H29" s="9"/>
      <c r="I29" s="11"/>
      <c r="J29" s="6">
        <v>6.0</v>
      </c>
      <c r="K29" s="7" t="s">
        <v>20</v>
      </c>
      <c r="L29" s="8" t="s">
        <v>135</v>
      </c>
      <c r="M29" s="8"/>
      <c r="N29" s="8" t="s">
        <v>22</v>
      </c>
      <c r="O29" s="11" t="s">
        <v>136</v>
      </c>
      <c r="P29" s="9" t="s">
        <v>24</v>
      </c>
    </row>
    <row r="30" ht="15.75" customHeight="1">
      <c r="A30" s="2" t="s">
        <v>137</v>
      </c>
      <c r="B30" s="10" t="s">
        <v>19</v>
      </c>
      <c r="C30" s="4"/>
      <c r="D30" s="5"/>
      <c r="E30" s="5"/>
      <c r="F30" s="4"/>
      <c r="G30" s="4"/>
      <c r="H30" s="2"/>
      <c r="I30" s="4"/>
      <c r="J30" s="6">
        <v>10.0</v>
      </c>
      <c r="K30" s="7" t="s">
        <v>20</v>
      </c>
      <c r="L30" s="8" t="s">
        <v>138</v>
      </c>
      <c r="M30" s="8"/>
      <c r="N30" s="8" t="s">
        <v>22</v>
      </c>
      <c r="O30" s="4" t="s">
        <v>139</v>
      </c>
      <c r="P30" s="2" t="s">
        <v>24</v>
      </c>
    </row>
    <row r="31" ht="15.75" customHeight="1">
      <c r="A31" s="9" t="s">
        <v>140</v>
      </c>
      <c r="B31" s="10" t="s">
        <v>19</v>
      </c>
      <c r="C31" s="11"/>
      <c r="D31" s="12"/>
      <c r="E31" s="12"/>
      <c r="F31" s="11"/>
      <c r="G31" s="11"/>
      <c r="H31" s="9"/>
      <c r="I31" s="11"/>
      <c r="J31" s="6">
        <v>10.0</v>
      </c>
      <c r="K31" s="7" t="s">
        <v>20</v>
      </c>
      <c r="L31" s="8" t="s">
        <v>141</v>
      </c>
      <c r="M31" s="8"/>
      <c r="N31" s="8" t="s">
        <v>22</v>
      </c>
      <c r="O31" s="11" t="s">
        <v>142</v>
      </c>
      <c r="P31" s="9" t="s">
        <v>24</v>
      </c>
    </row>
    <row r="32" ht="15.75" customHeight="1">
      <c r="A32" s="2" t="s">
        <v>143</v>
      </c>
      <c r="B32" s="13" t="s">
        <v>64</v>
      </c>
      <c r="C32" s="4" t="s">
        <v>144</v>
      </c>
      <c r="D32" s="5" t="s">
        <v>145</v>
      </c>
      <c r="E32" s="5" t="s">
        <v>145</v>
      </c>
      <c r="F32" s="4" t="s">
        <v>54</v>
      </c>
      <c r="G32" s="4" t="s">
        <v>54</v>
      </c>
      <c r="H32" s="2" t="s">
        <v>54</v>
      </c>
      <c r="I32" s="4" t="s">
        <v>146</v>
      </c>
      <c r="J32" s="6">
        <v>9.0</v>
      </c>
      <c r="K32" s="7" t="s">
        <v>20</v>
      </c>
      <c r="L32" s="8" t="s">
        <v>147</v>
      </c>
      <c r="M32" s="8"/>
      <c r="N32" s="8" t="s">
        <v>22</v>
      </c>
      <c r="O32" s="4" t="s">
        <v>148</v>
      </c>
      <c r="P32" s="2" t="s">
        <v>24</v>
      </c>
    </row>
    <row r="33" ht="15.75" customHeight="1">
      <c r="A33" s="9" t="s">
        <v>149</v>
      </c>
      <c r="B33" s="10" t="s">
        <v>19</v>
      </c>
      <c r="C33" s="11" t="s">
        <v>150</v>
      </c>
      <c r="D33" s="12"/>
      <c r="E33" s="12"/>
      <c r="F33" s="11" t="s">
        <v>84</v>
      </c>
      <c r="G33" s="11" t="s">
        <v>84</v>
      </c>
      <c r="H33" s="9" t="s">
        <v>84</v>
      </c>
      <c r="I33" s="11" t="s">
        <v>84</v>
      </c>
      <c r="J33" s="6">
        <v>10.0</v>
      </c>
      <c r="K33" s="7" t="s">
        <v>20</v>
      </c>
      <c r="L33" s="8" t="s">
        <v>151</v>
      </c>
      <c r="M33" s="8"/>
      <c r="N33" s="8" t="s">
        <v>22</v>
      </c>
      <c r="O33" s="11" t="s">
        <v>152</v>
      </c>
      <c r="P33" s="9" t="s">
        <v>24</v>
      </c>
    </row>
    <row r="34" ht="15.75" customHeight="1">
      <c r="A34" s="2" t="s">
        <v>153</v>
      </c>
      <c r="B34" s="10" t="s">
        <v>19</v>
      </c>
      <c r="C34" s="4"/>
      <c r="D34" s="5"/>
      <c r="E34" s="5"/>
      <c r="F34" s="4"/>
      <c r="G34" s="4"/>
      <c r="H34" s="2"/>
      <c r="I34" s="4"/>
      <c r="J34" s="6">
        <v>8.0</v>
      </c>
      <c r="K34" s="7" t="s">
        <v>20</v>
      </c>
      <c r="L34" s="8" t="s">
        <v>154</v>
      </c>
      <c r="M34" s="8"/>
      <c r="N34" s="8" t="s">
        <v>22</v>
      </c>
      <c r="O34" s="4"/>
      <c r="P34" s="2" t="s">
        <v>24</v>
      </c>
    </row>
    <row r="35" ht="15.75" customHeight="1">
      <c r="A35" s="2" t="s">
        <v>155</v>
      </c>
      <c r="B35" s="13" t="s">
        <v>64</v>
      </c>
      <c r="C35" s="4" t="s">
        <v>156</v>
      </c>
      <c r="D35" s="5" t="s">
        <v>157</v>
      </c>
      <c r="E35" s="5" t="s">
        <v>145</v>
      </c>
      <c r="F35" s="4" t="s">
        <v>54</v>
      </c>
      <c r="G35" s="4" t="s">
        <v>54</v>
      </c>
      <c r="H35" s="2" t="s">
        <v>73</v>
      </c>
      <c r="I35" s="4" t="s">
        <v>54</v>
      </c>
      <c r="J35" s="6">
        <v>9.0</v>
      </c>
      <c r="K35" s="7" t="s">
        <v>20</v>
      </c>
      <c r="L35" s="8" t="s">
        <v>158</v>
      </c>
      <c r="M35" s="8"/>
      <c r="N35" s="8" t="s">
        <v>22</v>
      </c>
      <c r="O35" s="4" t="s">
        <v>159</v>
      </c>
      <c r="P35" s="2" t="s">
        <v>24</v>
      </c>
    </row>
    <row r="36" ht="15.75" customHeight="1">
      <c r="A36" s="2" t="s">
        <v>160</v>
      </c>
      <c r="B36" s="10" t="s">
        <v>19</v>
      </c>
      <c r="C36" s="4" t="s">
        <v>161</v>
      </c>
      <c r="D36" s="5"/>
      <c r="E36" s="5"/>
      <c r="F36" s="4" t="s">
        <v>84</v>
      </c>
      <c r="G36" s="4" t="s">
        <v>84</v>
      </c>
      <c r="H36" s="2" t="s">
        <v>84</v>
      </c>
      <c r="I36" s="4" t="s">
        <v>84</v>
      </c>
      <c r="J36" s="6">
        <v>10.0</v>
      </c>
      <c r="K36" s="7" t="s">
        <v>20</v>
      </c>
      <c r="L36" s="8" t="s">
        <v>162</v>
      </c>
      <c r="M36" s="8"/>
      <c r="N36" s="8" t="s">
        <v>22</v>
      </c>
      <c r="O36" s="4" t="s">
        <v>163</v>
      </c>
      <c r="P36" s="2" t="s">
        <v>24</v>
      </c>
    </row>
    <row r="37" ht="15.75" customHeight="1">
      <c r="A37" s="9" t="s">
        <v>164</v>
      </c>
      <c r="B37" s="10" t="s">
        <v>19</v>
      </c>
      <c r="C37" s="11"/>
      <c r="D37" s="12"/>
      <c r="E37" s="12"/>
      <c r="F37" s="11"/>
      <c r="G37" s="11"/>
      <c r="H37" s="9"/>
      <c r="I37" s="11"/>
      <c r="J37" s="6">
        <v>10.0</v>
      </c>
      <c r="K37" s="7" t="s">
        <v>20</v>
      </c>
      <c r="L37" s="8" t="s">
        <v>165</v>
      </c>
      <c r="M37" s="8"/>
      <c r="N37" s="8" t="s">
        <v>22</v>
      </c>
      <c r="O37" s="11" t="s">
        <v>166</v>
      </c>
      <c r="P37" s="9" t="s">
        <v>24</v>
      </c>
    </row>
    <row r="38" ht="15.75" customHeight="1">
      <c r="A38" s="9" t="s">
        <v>167</v>
      </c>
      <c r="B38" s="10" t="s">
        <v>19</v>
      </c>
      <c r="C38" s="11" t="s">
        <v>168</v>
      </c>
      <c r="D38" s="12"/>
      <c r="E38" s="12"/>
      <c r="F38" s="11" t="s">
        <v>84</v>
      </c>
      <c r="G38" s="11" t="s">
        <v>84</v>
      </c>
      <c r="H38" s="9" t="s">
        <v>84</v>
      </c>
      <c r="I38" s="11" t="s">
        <v>84</v>
      </c>
      <c r="J38" s="6">
        <v>9.0</v>
      </c>
      <c r="K38" s="7" t="s">
        <v>20</v>
      </c>
      <c r="L38" s="8" t="s">
        <v>169</v>
      </c>
      <c r="M38" s="8"/>
      <c r="N38" s="8" t="s">
        <v>22</v>
      </c>
      <c r="O38" s="11" t="s">
        <v>170</v>
      </c>
      <c r="P38" s="9" t="s">
        <v>24</v>
      </c>
    </row>
    <row r="39" ht="15.75" customHeight="1">
      <c r="A39" s="2" t="s">
        <v>171</v>
      </c>
      <c r="B39" s="10" t="s">
        <v>19</v>
      </c>
      <c r="C39" s="4" t="s">
        <v>172</v>
      </c>
      <c r="D39" s="5"/>
      <c r="E39" s="5"/>
      <c r="F39" s="4" t="s">
        <v>84</v>
      </c>
      <c r="G39" s="4" t="s">
        <v>84</v>
      </c>
      <c r="H39" s="2" t="s">
        <v>84</v>
      </c>
      <c r="I39" s="4" t="s">
        <v>84</v>
      </c>
      <c r="J39" s="6">
        <v>9.0</v>
      </c>
      <c r="K39" s="7" t="s">
        <v>20</v>
      </c>
      <c r="L39" s="8" t="s">
        <v>173</v>
      </c>
      <c r="M39" s="8"/>
      <c r="N39" s="8" t="s">
        <v>22</v>
      </c>
      <c r="O39" s="4" t="s">
        <v>174</v>
      </c>
      <c r="P39" s="2" t="s">
        <v>24</v>
      </c>
    </row>
    <row r="40" ht="15.75" customHeight="1">
      <c r="A40" s="9" t="s">
        <v>175</v>
      </c>
      <c r="B40" s="10" t="s">
        <v>19</v>
      </c>
      <c r="C40" s="11"/>
      <c r="D40" s="12"/>
      <c r="E40" s="12"/>
      <c r="F40" s="11"/>
      <c r="G40" s="11"/>
      <c r="H40" s="9"/>
      <c r="I40" s="11"/>
      <c r="J40" s="6">
        <v>8.0</v>
      </c>
      <c r="K40" s="7" t="s">
        <v>20</v>
      </c>
      <c r="L40" s="8" t="s">
        <v>176</v>
      </c>
      <c r="M40" s="8"/>
      <c r="N40" s="8" t="s">
        <v>22</v>
      </c>
      <c r="O40" s="11"/>
      <c r="P40" s="9" t="s">
        <v>24</v>
      </c>
    </row>
    <row r="41" ht="15.75" customHeight="1">
      <c r="A41" s="9" t="s">
        <v>177</v>
      </c>
      <c r="B41" s="10" t="s">
        <v>19</v>
      </c>
      <c r="C41" s="11"/>
      <c r="D41" s="12"/>
      <c r="E41" s="12"/>
      <c r="F41" s="11"/>
      <c r="G41" s="11"/>
      <c r="H41" s="9"/>
      <c r="I41" s="11"/>
      <c r="J41" s="6">
        <v>9.0</v>
      </c>
      <c r="K41" s="7" t="s">
        <v>20</v>
      </c>
      <c r="L41" s="8" t="s">
        <v>178</v>
      </c>
      <c r="M41" s="8"/>
      <c r="N41" s="8" t="s">
        <v>22</v>
      </c>
      <c r="O41" s="11" t="s">
        <v>179</v>
      </c>
      <c r="P41" s="9" t="s">
        <v>24</v>
      </c>
    </row>
    <row r="42" ht="15.75" customHeight="1">
      <c r="A42" s="9" t="s">
        <v>180</v>
      </c>
      <c r="B42" s="10" t="s">
        <v>19</v>
      </c>
      <c r="C42" s="11" t="s">
        <v>181</v>
      </c>
      <c r="D42" s="12"/>
      <c r="E42" s="12"/>
      <c r="F42" s="11" t="s">
        <v>84</v>
      </c>
      <c r="G42" s="11" t="s">
        <v>84</v>
      </c>
      <c r="H42" s="9" t="s">
        <v>84</v>
      </c>
      <c r="I42" s="11" t="s">
        <v>84</v>
      </c>
      <c r="J42" s="6">
        <v>6.0</v>
      </c>
      <c r="K42" s="7" t="s">
        <v>20</v>
      </c>
      <c r="L42" s="8" t="s">
        <v>182</v>
      </c>
      <c r="M42" s="8"/>
      <c r="N42" s="8" t="s">
        <v>22</v>
      </c>
      <c r="O42" s="11" t="s">
        <v>183</v>
      </c>
      <c r="P42" s="9" t="s">
        <v>24</v>
      </c>
    </row>
    <row r="43" ht="15.75" customHeight="1">
      <c r="A43" s="2" t="s">
        <v>184</v>
      </c>
      <c r="B43" s="10" t="s">
        <v>19</v>
      </c>
      <c r="C43" s="4"/>
      <c r="D43" s="5"/>
      <c r="E43" s="5"/>
      <c r="F43" s="4"/>
      <c r="G43" s="4"/>
      <c r="H43" s="2"/>
      <c r="I43" s="4"/>
      <c r="J43" s="6">
        <v>10.0</v>
      </c>
      <c r="K43" s="7" t="s">
        <v>20</v>
      </c>
      <c r="L43" s="8" t="s">
        <v>185</v>
      </c>
      <c r="M43" s="8"/>
      <c r="N43" s="8" t="s">
        <v>22</v>
      </c>
      <c r="O43" s="4" t="s">
        <v>186</v>
      </c>
      <c r="P43" s="2" t="s">
        <v>24</v>
      </c>
    </row>
    <row r="44" ht="15.75" customHeight="1">
      <c r="A44" s="9" t="s">
        <v>187</v>
      </c>
      <c r="B44" s="13" t="s">
        <v>64</v>
      </c>
      <c r="C44" s="11" t="s">
        <v>188</v>
      </c>
      <c r="D44" s="12"/>
      <c r="E44" s="12"/>
      <c r="F44" s="11"/>
      <c r="G44" s="11" t="s">
        <v>19</v>
      </c>
      <c r="H44" s="9" t="s">
        <v>19</v>
      </c>
      <c r="I44" s="11" t="s">
        <v>19</v>
      </c>
      <c r="J44" s="6">
        <v>10.0</v>
      </c>
      <c r="K44" s="7" t="s">
        <v>20</v>
      </c>
      <c r="L44" s="8" t="s">
        <v>189</v>
      </c>
      <c r="M44" s="8"/>
      <c r="N44" s="8" t="s">
        <v>22</v>
      </c>
      <c r="O44" s="11" t="s">
        <v>190</v>
      </c>
      <c r="P44" s="9" t="s">
        <v>24</v>
      </c>
    </row>
    <row r="45" ht="15.75" customHeight="1">
      <c r="A45" s="2" t="s">
        <v>191</v>
      </c>
      <c r="B45" s="3" t="s">
        <v>17</v>
      </c>
      <c r="C45" s="4" t="s">
        <v>192</v>
      </c>
      <c r="D45" s="5" t="s">
        <v>193</v>
      </c>
      <c r="E45" s="5" t="s">
        <v>193</v>
      </c>
      <c r="F45" s="4" t="s">
        <v>194</v>
      </c>
      <c r="G45" s="4" t="s">
        <v>195</v>
      </c>
      <c r="H45" s="2" t="s">
        <v>54</v>
      </c>
      <c r="I45" s="4" t="s">
        <v>196</v>
      </c>
      <c r="J45" s="6">
        <v>8.0</v>
      </c>
      <c r="K45" s="7" t="s">
        <v>20</v>
      </c>
      <c r="L45" s="8" t="s">
        <v>197</v>
      </c>
      <c r="M45" s="8"/>
      <c r="N45" s="8" t="s">
        <v>22</v>
      </c>
      <c r="O45" s="4" t="s">
        <v>198</v>
      </c>
      <c r="P45" s="2" t="s">
        <v>24</v>
      </c>
    </row>
    <row r="46" ht="15.75" customHeight="1">
      <c r="A46" s="9" t="s">
        <v>199</v>
      </c>
      <c r="B46" s="10" t="s">
        <v>19</v>
      </c>
      <c r="C46" s="11"/>
      <c r="D46" s="12"/>
      <c r="E46" s="12"/>
      <c r="F46" s="11"/>
      <c r="G46" s="11"/>
      <c r="H46" s="9"/>
      <c r="I46" s="11"/>
      <c r="J46" s="6">
        <v>10.0</v>
      </c>
      <c r="K46" s="7" t="s">
        <v>20</v>
      </c>
      <c r="L46" s="8" t="s">
        <v>200</v>
      </c>
      <c r="M46" s="8"/>
      <c r="N46" s="8" t="s">
        <v>22</v>
      </c>
      <c r="O46" s="11" t="s">
        <v>201</v>
      </c>
      <c r="P46" s="9" t="s">
        <v>24</v>
      </c>
    </row>
    <row r="47" ht="15.75" customHeight="1">
      <c r="A47" s="9" t="s">
        <v>202</v>
      </c>
      <c r="B47" s="3" t="s">
        <v>17</v>
      </c>
      <c r="C47" s="11" t="s">
        <v>19</v>
      </c>
      <c r="D47" s="12"/>
      <c r="E47" s="12"/>
      <c r="F47" s="11"/>
      <c r="G47" s="11" t="s">
        <v>19</v>
      </c>
      <c r="H47" s="9" t="s">
        <v>19</v>
      </c>
      <c r="I47" s="14" t="s">
        <v>203</v>
      </c>
      <c r="J47" s="6">
        <v>9.0</v>
      </c>
      <c r="K47" s="7" t="s">
        <v>20</v>
      </c>
      <c r="L47" s="8" t="s">
        <v>204</v>
      </c>
      <c r="M47" s="8"/>
      <c r="N47" s="8" t="s">
        <v>22</v>
      </c>
      <c r="O47" s="11" t="s">
        <v>205</v>
      </c>
      <c r="P47" s="9" t="s">
        <v>24</v>
      </c>
    </row>
    <row r="48" ht="15.75" customHeight="1">
      <c r="A48" s="2" t="s">
        <v>206</v>
      </c>
      <c r="B48" s="10" t="s">
        <v>19</v>
      </c>
      <c r="C48" s="4"/>
      <c r="D48" s="5"/>
      <c r="E48" s="5"/>
      <c r="F48" s="4"/>
      <c r="G48" s="4"/>
      <c r="H48" s="2"/>
      <c r="I48" s="4"/>
      <c r="J48" s="6">
        <v>7.0</v>
      </c>
      <c r="K48" s="7" t="s">
        <v>20</v>
      </c>
      <c r="L48" s="8" t="s">
        <v>207</v>
      </c>
      <c r="M48" s="8"/>
      <c r="N48" s="8" t="s">
        <v>22</v>
      </c>
      <c r="O48" s="4" t="s">
        <v>208</v>
      </c>
      <c r="P48" s="2" t="s">
        <v>24</v>
      </c>
    </row>
    <row r="49" ht="15.75" customHeight="1">
      <c r="A49" s="9" t="s">
        <v>209</v>
      </c>
      <c r="B49" s="10" t="s">
        <v>19</v>
      </c>
      <c r="C49" s="11"/>
      <c r="D49" s="12"/>
      <c r="E49" s="12"/>
      <c r="F49" s="11"/>
      <c r="G49" s="11"/>
      <c r="H49" s="9"/>
      <c r="I49" s="11"/>
      <c r="J49" s="6">
        <v>6.0</v>
      </c>
      <c r="K49" s="7" t="s">
        <v>20</v>
      </c>
      <c r="L49" s="8" t="s">
        <v>210</v>
      </c>
      <c r="M49" s="8"/>
      <c r="N49" s="8" t="s">
        <v>22</v>
      </c>
      <c r="O49" s="11"/>
      <c r="P49" s="9" t="s">
        <v>24</v>
      </c>
    </row>
    <row r="50" ht="15.75" customHeight="1">
      <c r="A50" s="2" t="s">
        <v>211</v>
      </c>
      <c r="B50" s="10" t="s">
        <v>19</v>
      </c>
      <c r="C50" s="4" t="s">
        <v>212</v>
      </c>
      <c r="D50" s="5"/>
      <c r="E50" s="5"/>
      <c r="F50" s="4" t="s">
        <v>54</v>
      </c>
      <c r="G50" s="4" t="s">
        <v>54</v>
      </c>
      <c r="H50" s="2" t="s">
        <v>54</v>
      </c>
      <c r="I50" s="4" t="s">
        <v>54</v>
      </c>
      <c r="J50" s="6">
        <v>10.0</v>
      </c>
      <c r="K50" s="7" t="s">
        <v>20</v>
      </c>
      <c r="L50" s="8" t="s">
        <v>213</v>
      </c>
      <c r="M50" s="8"/>
      <c r="N50" s="8" t="s">
        <v>22</v>
      </c>
      <c r="O50" s="4" t="s">
        <v>214</v>
      </c>
      <c r="P50" s="2" t="s">
        <v>24</v>
      </c>
    </row>
    <row r="51" ht="15.75" customHeight="1">
      <c r="A51" s="2" t="s">
        <v>215</v>
      </c>
      <c r="B51" s="10" t="s">
        <v>19</v>
      </c>
      <c r="C51" s="4"/>
      <c r="D51" s="5"/>
      <c r="E51" s="5"/>
      <c r="F51" s="4"/>
      <c r="G51" s="4"/>
      <c r="H51" s="2"/>
      <c r="I51" s="4"/>
      <c r="J51" s="6">
        <v>10.0</v>
      </c>
      <c r="K51" s="7" t="s">
        <v>20</v>
      </c>
      <c r="L51" s="8" t="s">
        <v>216</v>
      </c>
      <c r="M51" s="8"/>
      <c r="N51" s="8" t="s">
        <v>22</v>
      </c>
      <c r="O51" s="4" t="s">
        <v>217</v>
      </c>
      <c r="P51" s="2" t="s">
        <v>24</v>
      </c>
    </row>
    <row r="52" ht="15.75" customHeight="1">
      <c r="A52" s="2" t="s">
        <v>218</v>
      </c>
      <c r="B52" s="10" t="s">
        <v>19</v>
      </c>
      <c r="C52" s="4"/>
      <c r="D52" s="5"/>
      <c r="E52" s="5"/>
      <c r="F52" s="4"/>
      <c r="G52" s="4"/>
      <c r="H52" s="2"/>
      <c r="I52" s="4"/>
      <c r="J52" s="6">
        <v>10.0</v>
      </c>
      <c r="K52" s="7" t="s">
        <v>20</v>
      </c>
      <c r="L52" s="8" t="s">
        <v>219</v>
      </c>
      <c r="M52" s="8"/>
      <c r="N52" s="8" t="s">
        <v>22</v>
      </c>
      <c r="O52" s="4" t="s">
        <v>220</v>
      </c>
      <c r="P52" s="2" t="s">
        <v>24</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20.0"/>
    <col customWidth="1" min="3" max="26" width="8.71"/>
  </cols>
  <sheetData>
    <row r="1" ht="36.0" customHeight="1">
      <c r="A1" s="1" t="s">
        <v>221</v>
      </c>
      <c r="B1" s="1" t="s">
        <v>222</v>
      </c>
    </row>
    <row r="2">
      <c r="A2" s="6" t="s">
        <v>223</v>
      </c>
      <c r="B2" s="6">
        <v>33.0</v>
      </c>
    </row>
    <row r="3">
      <c r="A3" s="6" t="s">
        <v>224</v>
      </c>
      <c r="B3" s="6">
        <v>14.0</v>
      </c>
    </row>
    <row r="4">
      <c r="A4" s="6" t="s">
        <v>225</v>
      </c>
      <c r="B4" s="6">
        <v>10.0</v>
      </c>
    </row>
    <row r="5">
      <c r="A5" s="6" t="s">
        <v>226</v>
      </c>
      <c r="B5" s="6">
        <v>9.0</v>
      </c>
    </row>
    <row r="6">
      <c r="A6" s="6" t="s">
        <v>227</v>
      </c>
      <c r="B6" s="6">
        <v>8.0</v>
      </c>
    </row>
    <row r="7">
      <c r="A7" s="6" t="s">
        <v>228</v>
      </c>
      <c r="B7" s="6">
        <v>6.0</v>
      </c>
    </row>
    <row r="8">
      <c r="A8" s="6" t="s">
        <v>229</v>
      </c>
      <c r="B8" s="6">
        <v>5.0</v>
      </c>
    </row>
    <row r="9">
      <c r="A9" s="6" t="s">
        <v>230</v>
      </c>
      <c r="B9" s="6">
        <v>4.0</v>
      </c>
    </row>
    <row r="10">
      <c r="A10" s="6" t="s">
        <v>231</v>
      </c>
      <c r="B10" s="6">
        <v>4.0</v>
      </c>
    </row>
    <row r="11">
      <c r="A11" s="6" t="s">
        <v>232</v>
      </c>
      <c r="B11" s="6">
        <v>4.0</v>
      </c>
    </row>
    <row r="12">
      <c r="A12" s="6" t="s">
        <v>233</v>
      </c>
      <c r="B12" s="6">
        <v>4.0</v>
      </c>
    </row>
    <row r="13">
      <c r="A13" s="6" t="s">
        <v>234</v>
      </c>
      <c r="B13" s="6">
        <v>3.0</v>
      </c>
    </row>
    <row r="14">
      <c r="A14" s="6" t="s">
        <v>235</v>
      </c>
      <c r="B14" s="6">
        <v>3.0</v>
      </c>
    </row>
    <row r="15">
      <c r="A15" s="6" t="s">
        <v>236</v>
      </c>
      <c r="B15" s="6">
        <v>3.0</v>
      </c>
    </row>
    <row r="16">
      <c r="A16" s="6" t="s">
        <v>237</v>
      </c>
      <c r="B16" s="6">
        <v>3.0</v>
      </c>
    </row>
    <row r="17">
      <c r="A17" s="6" t="s">
        <v>238</v>
      </c>
      <c r="B17" s="6">
        <v>3.0</v>
      </c>
    </row>
    <row r="18">
      <c r="A18" s="6" t="s">
        <v>239</v>
      </c>
      <c r="B18" s="6">
        <v>3.0</v>
      </c>
    </row>
    <row r="19">
      <c r="A19" s="6" t="s">
        <v>240</v>
      </c>
      <c r="B19" s="6">
        <v>3.0</v>
      </c>
    </row>
    <row r="20">
      <c r="A20" s="6" t="s">
        <v>241</v>
      </c>
      <c r="B20" s="6">
        <v>3.0</v>
      </c>
    </row>
    <row r="21" ht="15.75" customHeight="1">
      <c r="A21" s="9" t="s">
        <v>242</v>
      </c>
      <c r="B21" s="9">
        <v>2.0</v>
      </c>
    </row>
    <row r="22" ht="15.75" customHeight="1">
      <c r="A22" s="2" t="s">
        <v>243</v>
      </c>
      <c r="B22" s="2">
        <v>2.0</v>
      </c>
    </row>
    <row r="23" ht="15.75" customHeight="1">
      <c r="A23" s="9" t="s">
        <v>244</v>
      </c>
      <c r="B23" s="9">
        <v>2.0</v>
      </c>
    </row>
    <row r="24" ht="15.75" customHeight="1">
      <c r="A24" s="2" t="s">
        <v>245</v>
      </c>
      <c r="B24" s="2">
        <v>2.0</v>
      </c>
    </row>
    <row r="25" ht="15.75" customHeight="1">
      <c r="A25" s="9" t="s">
        <v>246</v>
      </c>
      <c r="B25" s="9">
        <v>2.0</v>
      </c>
    </row>
    <row r="26" ht="15.75" customHeight="1">
      <c r="A26" s="2" t="s">
        <v>247</v>
      </c>
      <c r="B26" s="2">
        <v>2.0</v>
      </c>
    </row>
    <row r="27" ht="15.75" customHeight="1">
      <c r="A27" s="9" t="s">
        <v>248</v>
      </c>
      <c r="B27" s="9">
        <v>2.0</v>
      </c>
    </row>
    <row r="28" ht="15.75" customHeight="1">
      <c r="A28" s="2" t="s">
        <v>249</v>
      </c>
      <c r="B28" s="2">
        <v>2.0</v>
      </c>
    </row>
    <row r="29" ht="15.75" customHeight="1">
      <c r="A29" s="9" t="s">
        <v>250</v>
      </c>
      <c r="B29" s="9">
        <v>2.0</v>
      </c>
    </row>
    <row r="30" ht="15.75" customHeight="1">
      <c r="A30" s="2" t="s">
        <v>251</v>
      </c>
      <c r="B30" s="2">
        <v>2.0</v>
      </c>
    </row>
    <row r="31" ht="15.75" customHeight="1">
      <c r="A31" s="9" t="s">
        <v>252</v>
      </c>
      <c r="B31" s="9">
        <v>2.0</v>
      </c>
    </row>
    <row r="32" ht="15.75" customHeight="1">
      <c r="A32" s="2" t="s">
        <v>253</v>
      </c>
      <c r="B32" s="2">
        <v>2.0</v>
      </c>
    </row>
    <row r="33" ht="15.75" customHeight="1">
      <c r="A33" s="9" t="s">
        <v>254</v>
      </c>
      <c r="B33" s="9">
        <v>2.0</v>
      </c>
    </row>
    <row r="34" ht="15.75" customHeight="1">
      <c r="A34" s="2" t="s">
        <v>255</v>
      </c>
      <c r="B34" s="2">
        <v>2.0</v>
      </c>
    </row>
    <row r="35" ht="15.75" customHeight="1">
      <c r="A35" s="9" t="s">
        <v>256</v>
      </c>
      <c r="B35" s="9">
        <v>2.0</v>
      </c>
    </row>
    <row r="36" ht="15.75" customHeight="1">
      <c r="A36" s="2" t="s">
        <v>257</v>
      </c>
      <c r="B36" s="2">
        <v>2.0</v>
      </c>
    </row>
    <row r="37" ht="15.75" customHeight="1">
      <c r="A37" s="9" t="s">
        <v>258</v>
      </c>
      <c r="B37" s="9">
        <v>2.0</v>
      </c>
    </row>
    <row r="38" ht="15.75" customHeight="1">
      <c r="A38" s="2" t="s">
        <v>259</v>
      </c>
      <c r="B38" s="2">
        <v>2.0</v>
      </c>
    </row>
    <row r="39" ht="15.75" customHeight="1">
      <c r="A39" s="9" t="s">
        <v>260</v>
      </c>
      <c r="B39" s="9">
        <v>2.0</v>
      </c>
    </row>
    <row r="40" ht="15.75" customHeight="1">
      <c r="A40" s="2" t="s">
        <v>261</v>
      </c>
      <c r="B40" s="2">
        <v>2.0</v>
      </c>
    </row>
    <row r="41" ht="15.75" customHeight="1">
      <c r="A41" s="9" t="s">
        <v>262</v>
      </c>
      <c r="B41" s="9">
        <v>2.0</v>
      </c>
    </row>
    <row r="42" ht="15.75" customHeight="1">
      <c r="A42" s="2" t="s">
        <v>263</v>
      </c>
      <c r="B42" s="2">
        <v>2.0</v>
      </c>
    </row>
    <row r="43" ht="15.75" customHeight="1">
      <c r="A43" s="9" t="s">
        <v>264</v>
      </c>
      <c r="B43" s="9">
        <v>1.0</v>
      </c>
    </row>
    <row r="44" ht="15.75" customHeight="1">
      <c r="A44" s="2" t="s">
        <v>265</v>
      </c>
      <c r="B44" s="2">
        <v>1.0</v>
      </c>
    </row>
    <row r="45" ht="15.75" customHeight="1">
      <c r="A45" s="9" t="s">
        <v>266</v>
      </c>
      <c r="B45" s="9">
        <v>1.0</v>
      </c>
    </row>
    <row r="46" ht="15.75" customHeight="1">
      <c r="A46" s="2" t="s">
        <v>267</v>
      </c>
      <c r="B46" s="2">
        <v>1.0</v>
      </c>
    </row>
    <row r="47" ht="15.75" customHeight="1">
      <c r="A47" s="9" t="s">
        <v>268</v>
      </c>
      <c r="B47" s="9">
        <v>1.0</v>
      </c>
    </row>
    <row r="48" ht="15.75" customHeight="1">
      <c r="A48" s="2" t="s">
        <v>269</v>
      </c>
      <c r="B48" s="2">
        <v>1.0</v>
      </c>
    </row>
    <row r="49" ht="15.75" customHeight="1">
      <c r="A49" s="9" t="s">
        <v>270</v>
      </c>
      <c r="B49" s="9">
        <v>1.0</v>
      </c>
    </row>
    <row r="50" ht="15.75" customHeight="1">
      <c r="A50" s="2" t="s">
        <v>271</v>
      </c>
      <c r="B50" s="2">
        <v>1.0</v>
      </c>
    </row>
    <row r="51" ht="15.75" customHeight="1">
      <c r="A51" s="9" t="s">
        <v>272</v>
      </c>
      <c r="B51" s="9">
        <v>1.0</v>
      </c>
    </row>
    <row r="52" ht="15.75" customHeight="1">
      <c r="A52" s="2" t="s">
        <v>273</v>
      </c>
      <c r="B52" s="2">
        <v>1.0</v>
      </c>
    </row>
    <row r="53" ht="15.75" customHeight="1">
      <c r="A53" s="9" t="s">
        <v>274</v>
      </c>
      <c r="B53" s="9">
        <v>1.0</v>
      </c>
    </row>
    <row r="54" ht="15.75" customHeight="1">
      <c r="A54" s="2" t="s">
        <v>275</v>
      </c>
      <c r="B54" s="2">
        <v>1.0</v>
      </c>
    </row>
    <row r="55" ht="15.75" customHeight="1">
      <c r="A55" s="9" t="s">
        <v>276</v>
      </c>
      <c r="B55" s="9">
        <v>1.0</v>
      </c>
    </row>
    <row r="56" ht="15.75" customHeight="1">
      <c r="A56" s="2" t="s">
        <v>277</v>
      </c>
      <c r="B56" s="2">
        <v>1.0</v>
      </c>
    </row>
    <row r="57" ht="15.75" customHeight="1">
      <c r="A57" s="9" t="s">
        <v>278</v>
      </c>
      <c r="B57" s="9">
        <v>1.0</v>
      </c>
    </row>
    <row r="58" ht="15.75" customHeight="1">
      <c r="A58" s="2" t="s">
        <v>279</v>
      </c>
      <c r="B58" s="2">
        <v>1.0</v>
      </c>
    </row>
    <row r="59" ht="15.75" customHeight="1">
      <c r="A59" s="9" t="s">
        <v>280</v>
      </c>
      <c r="B59" s="9">
        <v>1.0</v>
      </c>
    </row>
    <row r="60" ht="15.75" customHeight="1">
      <c r="A60" s="2" t="s">
        <v>281</v>
      </c>
      <c r="B60" s="2">
        <v>1.0</v>
      </c>
    </row>
    <row r="61" ht="15.75" customHeight="1">
      <c r="A61" s="9" t="s">
        <v>282</v>
      </c>
      <c r="B61" s="9">
        <v>1.0</v>
      </c>
    </row>
    <row r="62" ht="15.75" customHeight="1">
      <c r="A62" s="2" t="s">
        <v>283</v>
      </c>
      <c r="B62" s="2">
        <v>1.0</v>
      </c>
    </row>
    <row r="63" ht="15.75" customHeight="1">
      <c r="A63" s="9" t="s">
        <v>284</v>
      </c>
      <c r="B63" s="9">
        <v>1.0</v>
      </c>
    </row>
    <row r="64" ht="15.75" customHeight="1">
      <c r="A64" s="2" t="s">
        <v>285</v>
      </c>
      <c r="B64" s="2">
        <v>1.0</v>
      </c>
    </row>
    <row r="65" ht="15.75" customHeight="1">
      <c r="A65" s="9" t="s">
        <v>286</v>
      </c>
      <c r="B65" s="9">
        <v>1.0</v>
      </c>
    </row>
    <row r="66" ht="15.75" customHeight="1">
      <c r="A66" s="2" t="s">
        <v>287</v>
      </c>
      <c r="B66" s="2">
        <v>1.0</v>
      </c>
    </row>
    <row r="67" ht="15.75" customHeight="1">
      <c r="A67" s="9" t="s">
        <v>288</v>
      </c>
      <c r="B67" s="9">
        <v>1.0</v>
      </c>
    </row>
    <row r="68" ht="15.75" customHeight="1">
      <c r="A68" s="2" t="s">
        <v>289</v>
      </c>
      <c r="B68" s="2">
        <v>1.0</v>
      </c>
    </row>
    <row r="69" ht="15.75" customHeight="1">
      <c r="A69" s="9" t="s">
        <v>290</v>
      </c>
      <c r="B69" s="9">
        <v>1.0</v>
      </c>
    </row>
    <row r="70" ht="15.75" customHeight="1">
      <c r="A70" s="2" t="s">
        <v>291</v>
      </c>
      <c r="B70" s="2">
        <v>1.0</v>
      </c>
    </row>
    <row r="71" ht="15.75" customHeight="1">
      <c r="A71" s="9" t="s">
        <v>292</v>
      </c>
      <c r="B71" s="9">
        <v>1.0</v>
      </c>
    </row>
    <row r="72" ht="15.75" customHeight="1">
      <c r="A72" s="2" t="s">
        <v>293</v>
      </c>
      <c r="B72" s="2">
        <v>1.0</v>
      </c>
    </row>
    <row r="73" ht="15.75" customHeight="1">
      <c r="A73" s="9" t="s">
        <v>294</v>
      </c>
      <c r="B73" s="9">
        <v>1.0</v>
      </c>
    </row>
    <row r="74" ht="15.75" customHeight="1">
      <c r="A74" s="2" t="s">
        <v>295</v>
      </c>
      <c r="B74" s="2">
        <v>1.0</v>
      </c>
    </row>
    <row r="75" ht="15.75" customHeight="1">
      <c r="A75" s="9" t="s">
        <v>296</v>
      </c>
      <c r="B75" s="9">
        <v>1.0</v>
      </c>
    </row>
    <row r="76" ht="15.75" customHeight="1">
      <c r="A76" s="2" t="s">
        <v>297</v>
      </c>
      <c r="B76" s="2">
        <v>1.0</v>
      </c>
    </row>
    <row r="77" ht="15.75" customHeight="1">
      <c r="A77" s="9" t="s">
        <v>298</v>
      </c>
      <c r="B77" s="9">
        <v>1.0</v>
      </c>
    </row>
    <row r="78" ht="15.75" customHeight="1">
      <c r="A78" s="2" t="s">
        <v>299</v>
      </c>
      <c r="B78" s="2">
        <v>1.0</v>
      </c>
    </row>
    <row r="79" ht="15.75" customHeight="1">
      <c r="A79" s="9" t="s">
        <v>300</v>
      </c>
      <c r="B79" s="9">
        <v>1.0</v>
      </c>
    </row>
    <row r="80" ht="15.75" customHeight="1">
      <c r="A80" s="2" t="s">
        <v>301</v>
      </c>
      <c r="B80" s="2">
        <v>1.0</v>
      </c>
    </row>
    <row r="81" ht="15.75" customHeight="1">
      <c r="A81" s="9" t="s">
        <v>302</v>
      </c>
      <c r="B81" s="9">
        <v>1.0</v>
      </c>
    </row>
    <row r="82" ht="15.75" customHeight="1">
      <c r="A82" s="2" t="s">
        <v>303</v>
      </c>
      <c r="B82" s="2">
        <v>1.0</v>
      </c>
    </row>
    <row r="83" ht="15.75" customHeight="1">
      <c r="A83" s="9" t="s">
        <v>304</v>
      </c>
      <c r="B83" s="9">
        <v>1.0</v>
      </c>
    </row>
    <row r="84" ht="15.75" customHeight="1">
      <c r="A84" s="2" t="s">
        <v>305</v>
      </c>
      <c r="B84" s="2">
        <v>1.0</v>
      </c>
    </row>
    <row r="85" ht="15.75" customHeight="1">
      <c r="A85" s="9" t="s">
        <v>306</v>
      </c>
      <c r="B85" s="9">
        <v>1.0</v>
      </c>
    </row>
    <row r="86" ht="15.75" customHeight="1">
      <c r="A86" s="2" t="s">
        <v>307</v>
      </c>
      <c r="B86" s="2">
        <v>1.0</v>
      </c>
    </row>
    <row r="87" ht="15.75" customHeight="1">
      <c r="A87" s="9" t="s">
        <v>308</v>
      </c>
      <c r="B87" s="9">
        <v>1.0</v>
      </c>
    </row>
    <row r="88" ht="15.75" customHeight="1">
      <c r="A88" s="2" t="s">
        <v>309</v>
      </c>
      <c r="B88" s="2">
        <v>1.0</v>
      </c>
    </row>
    <row r="89" ht="15.75" customHeight="1">
      <c r="A89" s="9" t="s">
        <v>310</v>
      </c>
      <c r="B89" s="9">
        <v>1.0</v>
      </c>
    </row>
    <row r="90" ht="15.75" customHeight="1">
      <c r="A90" s="2" t="s">
        <v>311</v>
      </c>
      <c r="B90" s="2">
        <v>1.0</v>
      </c>
    </row>
    <row r="91" ht="15.75" customHeight="1">
      <c r="A91" s="9" t="s">
        <v>312</v>
      </c>
      <c r="B91" s="9">
        <v>1.0</v>
      </c>
    </row>
    <row r="92" ht="15.75" customHeight="1">
      <c r="A92" s="2" t="s">
        <v>313</v>
      </c>
      <c r="B92" s="2">
        <v>1.0</v>
      </c>
    </row>
    <row r="93" ht="15.75" customHeight="1">
      <c r="A93" s="9" t="s">
        <v>314</v>
      </c>
      <c r="B93" s="9">
        <v>1.0</v>
      </c>
    </row>
    <row r="94" ht="15.75" customHeight="1">
      <c r="A94" s="2" t="s">
        <v>315</v>
      </c>
      <c r="B94" s="2">
        <v>1.0</v>
      </c>
    </row>
    <row r="95" ht="15.75" customHeight="1">
      <c r="A95" s="9" t="s">
        <v>316</v>
      </c>
      <c r="B95" s="9">
        <v>1.0</v>
      </c>
    </row>
    <row r="96" ht="15.75" customHeight="1">
      <c r="A96" s="2" t="s">
        <v>317</v>
      </c>
      <c r="B96" s="2">
        <v>1.0</v>
      </c>
    </row>
    <row r="97" ht="15.75" customHeight="1">
      <c r="A97" s="9" t="s">
        <v>318</v>
      </c>
      <c r="B97" s="9">
        <v>1.0</v>
      </c>
    </row>
    <row r="98" ht="15.75" customHeight="1">
      <c r="A98" s="2" t="s">
        <v>319</v>
      </c>
      <c r="B98" s="2">
        <v>1.0</v>
      </c>
    </row>
    <row r="99" ht="15.75" customHeight="1">
      <c r="A99" s="9" t="s">
        <v>320</v>
      </c>
      <c r="B99" s="9">
        <v>1.0</v>
      </c>
    </row>
    <row r="100" ht="15.75" customHeight="1">
      <c r="A100" s="2" t="s">
        <v>321</v>
      </c>
      <c r="B100" s="2">
        <v>1.0</v>
      </c>
    </row>
    <row r="101" ht="15.75" customHeight="1">
      <c r="A101" s="9" t="s">
        <v>322</v>
      </c>
      <c r="B101" s="9">
        <v>1.0</v>
      </c>
    </row>
    <row r="102" ht="15.75" customHeight="1">
      <c r="A102" s="2" t="s">
        <v>323</v>
      </c>
      <c r="B102" s="2">
        <v>1.0</v>
      </c>
    </row>
    <row r="103" ht="15.75" customHeight="1">
      <c r="A103" s="9" t="s">
        <v>324</v>
      </c>
      <c r="B103" s="9">
        <v>1.0</v>
      </c>
    </row>
    <row r="104" ht="15.75" customHeight="1">
      <c r="A104" s="2" t="s">
        <v>325</v>
      </c>
      <c r="B104" s="2">
        <v>1.0</v>
      </c>
    </row>
    <row r="105" ht="15.75" customHeight="1">
      <c r="A105" s="9" t="s">
        <v>326</v>
      </c>
      <c r="B105" s="9">
        <v>1.0</v>
      </c>
    </row>
    <row r="106" ht="15.75" customHeight="1">
      <c r="A106" s="2" t="s">
        <v>327</v>
      </c>
      <c r="B106" s="2">
        <v>1.0</v>
      </c>
    </row>
    <row r="107" ht="15.75" customHeight="1">
      <c r="A107" s="9" t="s">
        <v>328</v>
      </c>
      <c r="B107" s="9">
        <v>1.0</v>
      </c>
    </row>
    <row r="108" ht="15.75" customHeight="1">
      <c r="A108" s="2" t="s">
        <v>329</v>
      </c>
      <c r="B108" s="2">
        <v>1.0</v>
      </c>
    </row>
    <row r="109" ht="15.75" customHeight="1">
      <c r="A109" s="9" t="s">
        <v>330</v>
      </c>
      <c r="B109" s="9">
        <v>1.0</v>
      </c>
    </row>
    <row r="110" ht="15.75" customHeight="1">
      <c r="A110" s="2" t="s">
        <v>331</v>
      </c>
      <c r="B110" s="2">
        <v>1.0</v>
      </c>
    </row>
    <row r="111" ht="15.75" customHeight="1">
      <c r="A111" s="9" t="s">
        <v>332</v>
      </c>
      <c r="B111" s="9">
        <v>1.0</v>
      </c>
    </row>
    <row r="112" ht="15.75" customHeight="1">
      <c r="A112" s="2" t="s">
        <v>333</v>
      </c>
      <c r="B112" s="2">
        <v>1.0</v>
      </c>
    </row>
    <row r="113" ht="15.75" customHeight="1">
      <c r="A113" s="9" t="s">
        <v>334</v>
      </c>
      <c r="B113" s="9">
        <v>1.0</v>
      </c>
    </row>
    <row r="114" ht="15.75" customHeight="1">
      <c r="A114" s="2" t="s">
        <v>335</v>
      </c>
      <c r="B114" s="2">
        <v>1.0</v>
      </c>
    </row>
    <row r="115" ht="15.75" customHeight="1">
      <c r="A115" s="9" t="s">
        <v>336</v>
      </c>
      <c r="B115" s="9">
        <v>1.0</v>
      </c>
    </row>
    <row r="116" ht="15.75" customHeight="1">
      <c r="A116" s="2" t="s">
        <v>337</v>
      </c>
      <c r="B116" s="2">
        <v>1.0</v>
      </c>
    </row>
    <row r="117" ht="15.75" customHeight="1">
      <c r="A117" s="9" t="s">
        <v>338</v>
      </c>
      <c r="B117" s="9">
        <v>1.0</v>
      </c>
    </row>
    <row r="118" ht="15.75" customHeight="1">
      <c r="A118" s="2" t="s">
        <v>339</v>
      </c>
      <c r="B118" s="2">
        <v>1.0</v>
      </c>
    </row>
    <row r="119" ht="15.75" customHeight="1">
      <c r="A119" s="9" t="s">
        <v>340</v>
      </c>
      <c r="B119" s="9">
        <v>1.0</v>
      </c>
    </row>
    <row r="120" ht="15.75" customHeight="1">
      <c r="A120" s="2" t="s">
        <v>341</v>
      </c>
      <c r="B120" s="2">
        <v>1.0</v>
      </c>
    </row>
    <row r="121" ht="15.75" customHeight="1">
      <c r="A121" s="9" t="s">
        <v>342</v>
      </c>
      <c r="B121" s="9">
        <v>1.0</v>
      </c>
    </row>
    <row r="122" ht="15.75" customHeight="1">
      <c r="A122" s="2" t="s">
        <v>343</v>
      </c>
      <c r="B122" s="2">
        <v>1.0</v>
      </c>
    </row>
    <row r="123" ht="15.75" customHeight="1">
      <c r="A123" s="9" t="s">
        <v>344</v>
      </c>
      <c r="B123" s="9">
        <v>1.0</v>
      </c>
    </row>
    <row r="124" ht="15.75" customHeight="1">
      <c r="A124" s="2" t="s">
        <v>345</v>
      </c>
      <c r="B124" s="2">
        <v>1.0</v>
      </c>
    </row>
    <row r="125" ht="15.75" customHeight="1">
      <c r="A125" s="9" t="s">
        <v>346</v>
      </c>
      <c r="B125" s="9">
        <v>1.0</v>
      </c>
    </row>
    <row r="126" ht="15.75" customHeight="1">
      <c r="A126" s="2" t="s">
        <v>347</v>
      </c>
      <c r="B126" s="2">
        <v>1.0</v>
      </c>
    </row>
    <row r="127" ht="15.75" customHeight="1">
      <c r="A127" s="9" t="s">
        <v>348</v>
      </c>
      <c r="B127" s="9">
        <v>1.0</v>
      </c>
    </row>
    <row r="128" ht="15.75" customHeight="1">
      <c r="A128" s="2" t="s">
        <v>349</v>
      </c>
      <c r="B128" s="2">
        <v>1.0</v>
      </c>
    </row>
    <row r="129" ht="15.75" customHeight="1">
      <c r="A129" s="9" t="s">
        <v>350</v>
      </c>
      <c r="B129" s="9">
        <v>1.0</v>
      </c>
    </row>
    <row r="130" ht="15.75" customHeight="1">
      <c r="A130" s="2" t="s">
        <v>351</v>
      </c>
      <c r="B130" s="2">
        <v>1.0</v>
      </c>
    </row>
    <row r="131" ht="15.75" customHeight="1">
      <c r="A131" s="9" t="s">
        <v>352</v>
      </c>
      <c r="B131" s="9">
        <v>1.0</v>
      </c>
    </row>
    <row r="132" ht="15.75" customHeight="1">
      <c r="A132" s="2" t="s">
        <v>353</v>
      </c>
      <c r="B132" s="2">
        <v>1.0</v>
      </c>
    </row>
    <row r="133" ht="15.75" customHeight="1">
      <c r="A133" s="9" t="s">
        <v>354</v>
      </c>
      <c r="B133" s="9">
        <v>1.0</v>
      </c>
    </row>
    <row r="134" ht="15.75" customHeight="1">
      <c r="A134" s="2" t="s">
        <v>355</v>
      </c>
      <c r="B134" s="2">
        <v>1.0</v>
      </c>
    </row>
    <row r="135" ht="15.75" customHeight="1">
      <c r="A135" s="9" t="s">
        <v>356</v>
      </c>
      <c r="B135" s="9">
        <v>1.0</v>
      </c>
    </row>
    <row r="136" ht="15.75" customHeight="1">
      <c r="A136" s="2" t="s">
        <v>357</v>
      </c>
      <c r="B136" s="2">
        <v>1.0</v>
      </c>
    </row>
    <row r="137" ht="15.75" customHeight="1">
      <c r="A137" s="9" t="s">
        <v>358</v>
      </c>
      <c r="B137" s="9">
        <v>1.0</v>
      </c>
    </row>
    <row r="138" ht="15.75" customHeight="1">
      <c r="A138" s="2" t="s">
        <v>359</v>
      </c>
      <c r="B138" s="2">
        <v>1.0</v>
      </c>
    </row>
    <row r="139" ht="15.75" customHeight="1">
      <c r="A139" s="9" t="s">
        <v>360</v>
      </c>
      <c r="B139" s="9">
        <v>1.0</v>
      </c>
    </row>
    <row r="140" ht="15.75" customHeight="1">
      <c r="A140" s="2" t="s">
        <v>361</v>
      </c>
      <c r="B140" s="2">
        <v>1.0</v>
      </c>
    </row>
    <row r="141" ht="15.75" customHeight="1">
      <c r="A141" s="9" t="s">
        <v>362</v>
      </c>
      <c r="B141" s="9">
        <v>1.0</v>
      </c>
    </row>
    <row r="142" ht="15.75" customHeight="1">
      <c r="A142" s="2" t="s">
        <v>363</v>
      </c>
      <c r="B142" s="2">
        <v>1.0</v>
      </c>
    </row>
    <row r="143" ht="15.75" customHeight="1">
      <c r="A143" s="9" t="s">
        <v>364</v>
      </c>
      <c r="B143" s="9">
        <v>1.0</v>
      </c>
    </row>
    <row r="144" ht="15.75" customHeight="1">
      <c r="A144" s="2" t="s">
        <v>365</v>
      </c>
      <c r="B144" s="2">
        <v>1.0</v>
      </c>
    </row>
    <row r="145" ht="15.75" customHeight="1">
      <c r="A145" s="9" t="s">
        <v>366</v>
      </c>
      <c r="B145" s="9">
        <v>1.0</v>
      </c>
    </row>
    <row r="146" ht="15.75" customHeight="1">
      <c r="A146" s="2" t="s">
        <v>367</v>
      </c>
      <c r="B146" s="2">
        <v>1.0</v>
      </c>
    </row>
    <row r="147" ht="15.75" customHeight="1">
      <c r="A147" s="9" t="s">
        <v>368</v>
      </c>
      <c r="B147" s="9">
        <v>1.0</v>
      </c>
    </row>
    <row r="148" ht="15.75" customHeight="1">
      <c r="A148" s="2" t="s">
        <v>369</v>
      </c>
      <c r="B148" s="2">
        <v>1.0</v>
      </c>
    </row>
    <row r="149" ht="15.75" customHeight="1">
      <c r="A149" s="9" t="s">
        <v>370</v>
      </c>
      <c r="B149" s="9">
        <v>1.0</v>
      </c>
    </row>
    <row r="150" ht="15.75" customHeight="1">
      <c r="A150" s="2" t="s">
        <v>371</v>
      </c>
      <c r="B150" s="2">
        <v>1.0</v>
      </c>
    </row>
    <row r="151" ht="15.75" customHeight="1">
      <c r="A151" s="9" t="s">
        <v>372</v>
      </c>
      <c r="B151" s="9">
        <v>1.0</v>
      </c>
    </row>
    <row r="152" ht="15.75" customHeight="1">
      <c r="A152" s="2" t="s">
        <v>373</v>
      </c>
      <c r="B152" s="2">
        <v>1.0</v>
      </c>
    </row>
    <row r="153" ht="15.75" customHeight="1">
      <c r="A153" s="9" t="s">
        <v>374</v>
      </c>
      <c r="B153" s="9">
        <v>1.0</v>
      </c>
    </row>
    <row r="154" ht="15.75" customHeight="1">
      <c r="A154" s="2" t="s">
        <v>375</v>
      </c>
      <c r="B154" s="2">
        <v>1.0</v>
      </c>
    </row>
    <row r="155" ht="15.75" customHeight="1">
      <c r="A155" s="9" t="s">
        <v>376</v>
      </c>
      <c r="B155" s="9">
        <v>1.0</v>
      </c>
    </row>
    <row r="156" ht="15.75" customHeight="1">
      <c r="A156" s="2" t="s">
        <v>377</v>
      </c>
      <c r="B156" s="2">
        <v>1.0</v>
      </c>
    </row>
    <row r="157" ht="15.75" customHeight="1">
      <c r="A157" s="9" t="s">
        <v>378</v>
      </c>
      <c r="B157" s="9">
        <v>1.0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26" width="8.71"/>
  </cols>
  <sheetData>
    <row r="1">
      <c r="A1" s="15" t="s">
        <v>379</v>
      </c>
      <c r="B1" s="16"/>
      <c r="C1" s="17"/>
    </row>
    <row r="3">
      <c r="A3" s="18" t="s">
        <v>1</v>
      </c>
      <c r="B3" s="18" t="s">
        <v>380</v>
      </c>
    </row>
    <row r="4">
      <c r="A4" s="10" t="s">
        <v>19</v>
      </c>
      <c r="B4" s="10">
        <v>33.0</v>
      </c>
    </row>
    <row r="5">
      <c r="A5" s="3" t="s">
        <v>17</v>
      </c>
      <c r="B5" s="3">
        <v>13.0</v>
      </c>
    </row>
    <row r="6">
      <c r="A6" s="13" t="s">
        <v>64</v>
      </c>
      <c r="B6" s="13">
        <v>5.0</v>
      </c>
    </row>
    <row r="8">
      <c r="A8" s="18" t="s">
        <v>381</v>
      </c>
      <c r="B8" s="18" t="s">
        <v>382</v>
      </c>
    </row>
    <row r="9">
      <c r="A9" s="9" t="s">
        <v>383</v>
      </c>
      <c r="B9" s="12">
        <f>COUNTA('AI + Web Search Data'!A2:A52)</f>
        <v>51</v>
      </c>
    </row>
    <row r="10">
      <c r="A10" s="2" t="s">
        <v>384</v>
      </c>
      <c r="B10" s="5">
        <f>COUNTIF('AI + Web Search Data'!J2:J52, "&gt;0")</f>
        <v>51</v>
      </c>
    </row>
    <row r="11">
      <c r="A11" s="9" t="s">
        <v>385</v>
      </c>
      <c r="B11" s="12">
        <f>SUM('AI + Web Search Data'!J2:J52)</f>
        <v>418</v>
      </c>
    </row>
    <row r="12">
      <c r="A12" s="2" t="s">
        <v>386</v>
      </c>
      <c r="B12" s="5">
        <v>418.0</v>
      </c>
    </row>
    <row r="13">
      <c r="A13" s="9" t="s">
        <v>387</v>
      </c>
      <c r="B13" s="12">
        <v>51.0</v>
      </c>
    </row>
    <row r="14">
      <c r="A14" s="2" t="s">
        <v>388</v>
      </c>
      <c r="B14" s="5">
        <f>ROUND(SUM('AI + Web Search Data'!J2:J52)/COUNTA('AI + Web Search Data'!A2:A52),1)</f>
        <v>8.2</v>
      </c>
    </row>
    <row r="15">
      <c r="A15" s="9" t="s">
        <v>389</v>
      </c>
      <c r="B15" s="12">
        <f>COUNTBLANK('AI + Web Search Data'!D2:D52)</f>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5" t="s">
        <v>390</v>
      </c>
      <c r="B1" s="17"/>
    </row>
    <row r="3" ht="72.0" customHeight="1">
      <c r="A3" s="5" t="s">
        <v>391</v>
      </c>
      <c r="B3" s="11" t="s">
        <v>392</v>
      </c>
    </row>
    <row r="4" ht="72.0" customHeight="1">
      <c r="A4" s="5" t="s">
        <v>393</v>
      </c>
      <c r="B4" s="11" t="s">
        <v>394</v>
      </c>
    </row>
    <row r="5" ht="72.0" customHeight="1">
      <c r="A5" s="5" t="s">
        <v>395</v>
      </c>
      <c r="B5" s="11" t="s">
        <v>396</v>
      </c>
    </row>
    <row r="6" ht="72.0" customHeight="1">
      <c r="A6" s="5" t="s">
        <v>397</v>
      </c>
      <c r="B6" s="11" t="s">
        <v>398</v>
      </c>
    </row>
    <row r="7" ht="72.0" customHeight="1">
      <c r="A7" s="5" t="s">
        <v>399</v>
      </c>
      <c r="B7" s="11" t="s">
        <v>400</v>
      </c>
    </row>
    <row r="8" ht="72.0" customHeight="1">
      <c r="A8" s="5" t="s">
        <v>401</v>
      </c>
      <c r="B8" s="11" t="s">
        <v>402</v>
      </c>
    </row>
    <row r="9" ht="72.0" customHeight="1">
      <c r="A9" s="5" t="s">
        <v>403</v>
      </c>
      <c r="B9" s="11" t="s">
        <v>404</v>
      </c>
    </row>
    <row r="10" ht="72.0" customHeight="1">
      <c r="A10" s="5" t="s">
        <v>405</v>
      </c>
      <c r="B10" s="11" t="s">
        <v>406</v>
      </c>
    </row>
    <row r="11" ht="72.0" customHeight="1">
      <c r="A11" s="5" t="s">
        <v>407</v>
      </c>
      <c r="B11" s="11" t="s">
        <v>408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34.0"/>
    <col customWidth="1" min="3" max="4" width="10.0"/>
    <col customWidth="1" min="5" max="5" width="22.0"/>
    <col customWidth="1" min="6" max="6" width="28.0"/>
    <col customWidth="1" min="7" max="7" width="20.0"/>
    <col customWidth="1" min="8" max="26" width="8.71"/>
  </cols>
  <sheetData>
    <row r="1">
      <c r="A1" s="19" t="s">
        <v>409</v>
      </c>
    </row>
    <row r="2" ht="42.0" customHeight="1">
      <c r="A2" s="20" t="s">
        <v>410</v>
      </c>
      <c r="B2" s="16"/>
      <c r="C2" s="16"/>
      <c r="D2" s="16"/>
      <c r="E2" s="16"/>
      <c r="F2" s="16"/>
      <c r="G2" s="17"/>
    </row>
    <row r="3" ht="27.75" customHeight="1">
      <c r="A3" s="20" t="s">
        <v>411</v>
      </c>
      <c r="B3" s="16"/>
      <c r="C3" s="16"/>
      <c r="D3" s="16"/>
      <c r="E3" s="16"/>
      <c r="F3" s="16"/>
      <c r="G3" s="17"/>
    </row>
    <row r="5">
      <c r="A5" s="21" t="s">
        <v>0</v>
      </c>
      <c r="B5" s="21" t="s">
        <v>412</v>
      </c>
      <c r="C5" s="21" t="s">
        <v>3</v>
      </c>
      <c r="D5" s="21" t="s">
        <v>4</v>
      </c>
      <c r="E5" s="21" t="s">
        <v>413</v>
      </c>
      <c r="F5" s="21" t="s">
        <v>414</v>
      </c>
      <c r="G5" s="21" t="s">
        <v>415</v>
      </c>
    </row>
    <row r="6">
      <c r="A6" s="22" t="s">
        <v>51</v>
      </c>
      <c r="B6" s="22" t="s">
        <v>53</v>
      </c>
      <c r="C6" s="22">
        <v>16.0</v>
      </c>
      <c r="D6" s="22">
        <v>16.0</v>
      </c>
      <c r="E6" s="22" t="s">
        <v>416</v>
      </c>
      <c r="F6" s="22" t="s">
        <v>417</v>
      </c>
      <c r="G6" s="22" t="s">
        <v>418</v>
      </c>
    </row>
    <row r="7">
      <c r="A7" s="22" t="s">
        <v>49</v>
      </c>
      <c r="B7" s="22"/>
      <c r="C7" s="22"/>
      <c r="D7" s="22"/>
      <c r="E7" s="22" t="s">
        <v>419</v>
      </c>
      <c r="F7" s="22"/>
      <c r="G7" s="22" t="s">
        <v>420</v>
      </c>
    </row>
    <row r="8">
      <c r="A8" s="22" t="s">
        <v>45</v>
      </c>
      <c r="B8" s="22"/>
      <c r="C8" s="22"/>
      <c r="D8" s="22"/>
      <c r="E8" s="22" t="s">
        <v>419</v>
      </c>
      <c r="F8" s="22"/>
      <c r="G8" s="22" t="s">
        <v>420</v>
      </c>
    </row>
    <row r="9">
      <c r="A9" s="22" t="s">
        <v>63</v>
      </c>
      <c r="B9" s="22" t="s">
        <v>19</v>
      </c>
      <c r="C9" s="22"/>
      <c r="D9" s="22"/>
      <c r="E9" s="22" t="s">
        <v>419</v>
      </c>
      <c r="F9" s="22"/>
      <c r="G9" s="22" t="s">
        <v>420</v>
      </c>
    </row>
    <row r="10">
      <c r="A10" s="22" t="s">
        <v>89</v>
      </c>
      <c r="B10" s="22"/>
      <c r="C10" s="22"/>
      <c r="D10" s="22"/>
      <c r="E10" s="22" t="s">
        <v>419</v>
      </c>
      <c r="F10" s="22"/>
      <c r="G10" s="22" t="s">
        <v>420</v>
      </c>
    </row>
    <row r="11">
      <c r="A11" s="22" t="s">
        <v>110</v>
      </c>
      <c r="B11" s="22" t="s">
        <v>19</v>
      </c>
      <c r="C11" s="22"/>
      <c r="D11" s="22"/>
      <c r="E11" s="22" t="s">
        <v>419</v>
      </c>
      <c r="F11" s="22"/>
      <c r="G11" s="22" t="s">
        <v>420</v>
      </c>
    </row>
    <row r="12">
      <c r="A12" s="22" t="s">
        <v>105</v>
      </c>
      <c r="B12" s="22" t="s">
        <v>19</v>
      </c>
      <c r="C12" s="22"/>
      <c r="D12" s="22"/>
      <c r="E12" s="22" t="s">
        <v>419</v>
      </c>
      <c r="F12" s="22"/>
      <c r="G12" s="22" t="s">
        <v>420</v>
      </c>
    </row>
    <row r="13">
      <c r="A13" s="22" t="s">
        <v>130</v>
      </c>
      <c r="B13" s="22" t="s">
        <v>19</v>
      </c>
      <c r="C13" s="22"/>
      <c r="D13" s="22"/>
      <c r="E13" s="22" t="s">
        <v>419</v>
      </c>
      <c r="F13" s="22"/>
      <c r="G13" s="22" t="s">
        <v>420</v>
      </c>
    </row>
    <row r="14">
      <c r="A14" s="22" t="s">
        <v>137</v>
      </c>
      <c r="B14" s="22"/>
      <c r="C14" s="22"/>
      <c r="D14" s="22"/>
      <c r="E14" s="22" t="s">
        <v>419</v>
      </c>
      <c r="F14" s="22"/>
      <c r="G14" s="22" t="s">
        <v>420</v>
      </c>
    </row>
    <row r="15">
      <c r="A15" s="22" t="s">
        <v>149</v>
      </c>
      <c r="B15" s="22" t="s">
        <v>84</v>
      </c>
      <c r="C15" s="22"/>
      <c r="D15" s="22"/>
      <c r="E15" s="22" t="s">
        <v>419</v>
      </c>
      <c r="F15" s="22"/>
      <c r="G15" s="22" t="s">
        <v>420</v>
      </c>
    </row>
    <row r="16">
      <c r="A16" s="22" t="s">
        <v>155</v>
      </c>
      <c r="B16" s="22" t="s">
        <v>421</v>
      </c>
      <c r="C16" s="22">
        <v>2.79</v>
      </c>
      <c r="D16" s="22">
        <v>2.99</v>
      </c>
      <c r="E16" s="22" t="s">
        <v>419</v>
      </c>
      <c r="F16" s="22"/>
      <c r="G16" s="22" t="s">
        <v>422</v>
      </c>
    </row>
    <row r="17">
      <c r="A17" s="22" t="s">
        <v>164</v>
      </c>
      <c r="B17" s="22"/>
      <c r="C17" s="22"/>
      <c r="D17" s="22"/>
      <c r="E17" s="22" t="s">
        <v>419</v>
      </c>
      <c r="F17" s="22"/>
      <c r="G17" s="22" t="s">
        <v>420</v>
      </c>
    </row>
    <row r="18">
      <c r="A18" s="22" t="s">
        <v>171</v>
      </c>
      <c r="B18" s="22" t="s">
        <v>84</v>
      </c>
      <c r="C18" s="22"/>
      <c r="D18" s="22"/>
      <c r="E18" s="22" t="s">
        <v>419</v>
      </c>
      <c r="F18" s="22"/>
      <c r="G18" s="22" t="s">
        <v>420</v>
      </c>
    </row>
    <row r="19">
      <c r="A19" s="22" t="s">
        <v>167</v>
      </c>
      <c r="B19" s="22" t="s">
        <v>84</v>
      </c>
      <c r="C19" s="22"/>
      <c r="D19" s="22"/>
      <c r="E19" s="22" t="s">
        <v>419</v>
      </c>
      <c r="F19" s="22"/>
      <c r="G19" s="22" t="s">
        <v>420</v>
      </c>
    </row>
    <row r="20">
      <c r="A20" s="22" t="s">
        <v>184</v>
      </c>
      <c r="B20" s="22"/>
      <c r="C20" s="22"/>
      <c r="D20" s="22"/>
      <c r="E20" s="22" t="s">
        <v>419</v>
      </c>
      <c r="F20" s="22"/>
      <c r="G20" s="22" t="s">
        <v>420</v>
      </c>
    </row>
    <row r="21" ht="15.75" customHeight="1">
      <c r="A21" s="22" t="s">
        <v>175</v>
      </c>
      <c r="B21" s="22"/>
      <c r="C21" s="22"/>
      <c r="D21" s="22"/>
      <c r="E21" s="22" t="s">
        <v>419</v>
      </c>
      <c r="F21" s="22"/>
      <c r="G21" s="22" t="s">
        <v>420</v>
      </c>
    </row>
    <row r="22" ht="15.75" customHeight="1">
      <c r="A22" s="22" t="s">
        <v>191</v>
      </c>
      <c r="B22" s="22" t="s">
        <v>193</v>
      </c>
      <c r="C22" s="22">
        <v>19.55</v>
      </c>
      <c r="D22" s="22">
        <v>19.55</v>
      </c>
      <c r="E22" s="22" t="s">
        <v>423</v>
      </c>
      <c r="F22" s="22" t="s">
        <v>424</v>
      </c>
      <c r="G22" s="22" t="s">
        <v>418</v>
      </c>
    </row>
    <row r="23" ht="15.75" customHeight="1">
      <c r="A23" s="22" t="s">
        <v>187</v>
      </c>
      <c r="B23" s="22" t="s">
        <v>19</v>
      </c>
      <c r="C23" s="22"/>
      <c r="D23" s="22"/>
      <c r="E23" s="22" t="s">
        <v>419</v>
      </c>
      <c r="F23" s="22"/>
      <c r="G23" s="22" t="s">
        <v>420</v>
      </c>
    </row>
    <row r="24" ht="15.75" customHeight="1">
      <c r="A24" s="22" t="s">
        <v>143</v>
      </c>
      <c r="B24" s="22" t="s">
        <v>425</v>
      </c>
      <c r="C24" s="22">
        <v>2.99</v>
      </c>
      <c r="D24" s="22">
        <v>2.99</v>
      </c>
      <c r="E24" s="22" t="s">
        <v>416</v>
      </c>
      <c r="F24" s="22" t="s">
        <v>426</v>
      </c>
      <c r="G24" s="22" t="s">
        <v>418</v>
      </c>
    </row>
    <row r="25" ht="15.75" customHeight="1">
      <c r="A25" s="22" t="s">
        <v>199</v>
      </c>
      <c r="B25" s="22"/>
      <c r="C25" s="22"/>
      <c r="D25" s="22"/>
      <c r="E25" s="22" t="s">
        <v>419</v>
      </c>
      <c r="F25" s="22"/>
      <c r="G25" s="22" t="s">
        <v>420</v>
      </c>
    </row>
    <row r="26" ht="15.75" customHeight="1">
      <c r="A26" s="22" t="s">
        <v>211</v>
      </c>
      <c r="B26" s="22"/>
      <c r="C26" s="22"/>
      <c r="D26" s="22"/>
      <c r="E26" s="22" t="s">
        <v>419</v>
      </c>
      <c r="F26" s="22"/>
      <c r="G26" s="22" t="s">
        <v>420</v>
      </c>
    </row>
    <row r="27" ht="15.75" customHeight="1">
      <c r="A27" s="22" t="s">
        <v>202</v>
      </c>
      <c r="B27" s="22" t="s">
        <v>19</v>
      </c>
      <c r="C27" s="22"/>
      <c r="D27" s="22"/>
      <c r="E27" s="22" t="s">
        <v>419</v>
      </c>
      <c r="F27" s="22"/>
      <c r="G27" s="22" t="s">
        <v>420</v>
      </c>
    </row>
    <row r="28" ht="15.75" customHeight="1">
      <c r="A28" s="22" t="s">
        <v>16</v>
      </c>
      <c r="B28" s="22" t="s">
        <v>19</v>
      </c>
      <c r="C28" s="22"/>
      <c r="D28" s="22"/>
      <c r="E28" s="22" t="s">
        <v>419</v>
      </c>
      <c r="F28" s="22"/>
      <c r="G28" s="22" t="s">
        <v>420</v>
      </c>
    </row>
    <row r="29" ht="15.75" customHeight="1">
      <c r="A29" s="22" t="s">
        <v>28</v>
      </c>
      <c r="B29" s="22" t="s">
        <v>19</v>
      </c>
      <c r="C29" s="22"/>
      <c r="D29" s="22"/>
      <c r="E29" s="22" t="s">
        <v>419</v>
      </c>
      <c r="F29" s="22"/>
      <c r="G29" s="22" t="s">
        <v>420</v>
      </c>
    </row>
    <row r="30" ht="15.75" customHeight="1">
      <c r="A30" s="22" t="s">
        <v>33</v>
      </c>
      <c r="B30" s="22" t="s">
        <v>19</v>
      </c>
      <c r="C30" s="22"/>
      <c r="D30" s="22"/>
      <c r="E30" s="22" t="s">
        <v>419</v>
      </c>
      <c r="F30" s="22"/>
      <c r="G30" s="22" t="s">
        <v>420</v>
      </c>
    </row>
    <row r="31" ht="15.75" customHeight="1">
      <c r="A31" s="22" t="s">
        <v>69</v>
      </c>
      <c r="B31" s="22" t="s">
        <v>74</v>
      </c>
      <c r="C31" s="22"/>
      <c r="D31" s="22"/>
      <c r="E31" s="22" t="s">
        <v>419</v>
      </c>
      <c r="F31" s="22"/>
      <c r="G31" s="22" t="s">
        <v>420</v>
      </c>
    </row>
    <row r="32" ht="15.75" customHeight="1">
      <c r="A32" s="22" t="s">
        <v>37</v>
      </c>
      <c r="B32" s="22" t="s">
        <v>19</v>
      </c>
      <c r="C32" s="22"/>
      <c r="D32" s="22"/>
      <c r="E32" s="22" t="s">
        <v>419</v>
      </c>
      <c r="F32" s="22"/>
      <c r="G32" s="22" t="s">
        <v>420</v>
      </c>
    </row>
    <row r="33" ht="15.75" customHeight="1">
      <c r="A33" s="22" t="s">
        <v>87</v>
      </c>
      <c r="B33" s="22"/>
      <c r="C33" s="22"/>
      <c r="D33" s="22"/>
      <c r="E33" s="22" t="s">
        <v>419</v>
      </c>
      <c r="F33" s="22"/>
      <c r="G33" s="22" t="s">
        <v>420</v>
      </c>
    </row>
    <row r="34" ht="15.75" customHeight="1">
      <c r="A34" s="22" t="s">
        <v>102</v>
      </c>
      <c r="B34" s="22" t="s">
        <v>19</v>
      </c>
      <c r="C34" s="22"/>
      <c r="D34" s="22"/>
      <c r="E34" s="22" t="s">
        <v>419</v>
      </c>
      <c r="F34" s="22"/>
      <c r="G34" s="22" t="s">
        <v>420</v>
      </c>
    </row>
    <row r="35" ht="15.75" customHeight="1">
      <c r="A35" s="22" t="s">
        <v>25</v>
      </c>
      <c r="B35" s="22"/>
      <c r="C35" s="22"/>
      <c r="D35" s="22"/>
      <c r="E35" s="22" t="s">
        <v>419</v>
      </c>
      <c r="F35" s="22"/>
      <c r="G35" s="22" t="s">
        <v>420</v>
      </c>
    </row>
    <row r="36" ht="15.75" customHeight="1">
      <c r="A36" s="22" t="s">
        <v>47</v>
      </c>
      <c r="B36" s="22"/>
      <c r="C36" s="22"/>
      <c r="D36" s="22"/>
      <c r="E36" s="22" t="s">
        <v>419</v>
      </c>
      <c r="F36" s="22"/>
      <c r="G36" s="22" t="s">
        <v>420</v>
      </c>
    </row>
    <row r="37" ht="15.75" customHeight="1">
      <c r="A37" s="22" t="s">
        <v>60</v>
      </c>
      <c r="B37" s="22"/>
      <c r="C37" s="22"/>
      <c r="D37" s="22"/>
      <c r="E37" s="22" t="s">
        <v>419</v>
      </c>
      <c r="F37" s="22"/>
      <c r="G37" s="22" t="s">
        <v>420</v>
      </c>
    </row>
    <row r="38" ht="15.75" customHeight="1">
      <c r="A38" s="22" t="s">
        <v>57</v>
      </c>
      <c r="B38" s="22"/>
      <c r="C38" s="22"/>
      <c r="D38" s="22"/>
      <c r="E38" s="22" t="s">
        <v>419</v>
      </c>
      <c r="F38" s="22"/>
      <c r="G38" s="22" t="s">
        <v>420</v>
      </c>
    </row>
    <row r="39" ht="15.75" customHeight="1">
      <c r="A39" s="22" t="s">
        <v>82</v>
      </c>
      <c r="B39" s="22" t="s">
        <v>84</v>
      </c>
      <c r="C39" s="22"/>
      <c r="D39" s="22"/>
      <c r="E39" s="22" t="s">
        <v>419</v>
      </c>
      <c r="F39" s="22"/>
      <c r="G39" s="22" t="s">
        <v>420</v>
      </c>
    </row>
    <row r="40" ht="15.75" customHeight="1">
      <c r="A40" s="22" t="s">
        <v>77</v>
      </c>
      <c r="B40" s="22"/>
      <c r="C40" s="22"/>
      <c r="D40" s="22"/>
      <c r="E40" s="22" t="s">
        <v>419</v>
      </c>
      <c r="F40" s="22"/>
      <c r="G40" s="22" t="s">
        <v>420</v>
      </c>
    </row>
    <row r="41" ht="15.75" customHeight="1">
      <c r="A41" s="22" t="s">
        <v>80</v>
      </c>
      <c r="B41" s="22"/>
      <c r="C41" s="22"/>
      <c r="D41" s="22"/>
      <c r="E41" s="22" t="s">
        <v>419</v>
      </c>
      <c r="F41" s="22"/>
      <c r="G41" s="22" t="s">
        <v>420</v>
      </c>
    </row>
    <row r="42" ht="15.75" customHeight="1">
      <c r="A42" s="22" t="s">
        <v>115</v>
      </c>
      <c r="B42" s="22"/>
      <c r="C42" s="22"/>
      <c r="D42" s="22"/>
      <c r="E42" s="22" t="s">
        <v>419</v>
      </c>
      <c r="F42" s="22"/>
      <c r="G42" s="22" t="s">
        <v>420</v>
      </c>
    </row>
    <row r="43" ht="15.75" customHeight="1">
      <c r="A43" s="22" t="s">
        <v>134</v>
      </c>
      <c r="B43" s="22"/>
      <c r="C43" s="22"/>
      <c r="D43" s="22"/>
      <c r="E43" s="22" t="s">
        <v>419</v>
      </c>
      <c r="F43" s="22"/>
      <c r="G43" s="22" t="s">
        <v>420</v>
      </c>
    </row>
    <row r="44" ht="15.75" customHeight="1">
      <c r="A44" s="22" t="s">
        <v>119</v>
      </c>
      <c r="B44" s="22"/>
      <c r="C44" s="22"/>
      <c r="D44" s="22"/>
      <c r="E44" s="22" t="s">
        <v>419</v>
      </c>
      <c r="F44" s="22"/>
      <c r="G44" s="22" t="s">
        <v>420</v>
      </c>
    </row>
    <row r="45" ht="15.75" customHeight="1">
      <c r="A45" s="22" t="s">
        <v>140</v>
      </c>
      <c r="B45" s="22"/>
      <c r="C45" s="22"/>
      <c r="D45" s="22"/>
      <c r="E45" s="22" t="s">
        <v>419</v>
      </c>
      <c r="F45" s="22"/>
      <c r="G45" s="22" t="s">
        <v>420</v>
      </c>
    </row>
    <row r="46" ht="15.75" customHeight="1">
      <c r="A46" s="22" t="s">
        <v>160</v>
      </c>
      <c r="B46" s="22" t="s">
        <v>84</v>
      </c>
      <c r="C46" s="22"/>
      <c r="D46" s="22"/>
      <c r="E46" s="22" t="s">
        <v>419</v>
      </c>
      <c r="F46" s="22"/>
      <c r="G46" s="22" t="s">
        <v>420</v>
      </c>
    </row>
    <row r="47" ht="15.75" customHeight="1">
      <c r="A47" s="22" t="s">
        <v>177</v>
      </c>
      <c r="B47" s="22"/>
      <c r="C47" s="22"/>
      <c r="D47" s="22"/>
      <c r="E47" s="22" t="s">
        <v>419</v>
      </c>
      <c r="F47" s="22"/>
      <c r="G47" s="22" t="s">
        <v>420</v>
      </c>
    </row>
    <row r="48" ht="15.75" customHeight="1">
      <c r="A48" s="22" t="s">
        <v>153</v>
      </c>
      <c r="B48" s="22"/>
      <c r="C48" s="22"/>
      <c r="D48" s="22"/>
      <c r="E48" s="22" t="s">
        <v>419</v>
      </c>
      <c r="F48" s="22"/>
      <c r="G48" s="22" t="s">
        <v>420</v>
      </c>
    </row>
    <row r="49" ht="15.75" customHeight="1">
      <c r="A49" s="22" t="s">
        <v>180</v>
      </c>
      <c r="B49" s="22" t="s">
        <v>84</v>
      </c>
      <c r="C49" s="22"/>
      <c r="D49" s="22"/>
      <c r="E49" s="22" t="s">
        <v>419</v>
      </c>
      <c r="F49" s="22"/>
      <c r="G49" s="22" t="s">
        <v>420</v>
      </c>
    </row>
    <row r="50" ht="15.75" customHeight="1">
      <c r="A50" s="22" t="s">
        <v>206</v>
      </c>
      <c r="B50" s="22"/>
      <c r="C50" s="22"/>
      <c r="D50" s="22"/>
      <c r="E50" s="22" t="s">
        <v>419</v>
      </c>
      <c r="F50" s="22"/>
      <c r="G50" s="22" t="s">
        <v>420</v>
      </c>
    </row>
    <row r="51" ht="15.75" customHeight="1">
      <c r="A51" s="22" t="s">
        <v>209</v>
      </c>
      <c r="B51" s="22"/>
      <c r="C51" s="22"/>
      <c r="D51" s="22"/>
      <c r="E51" s="22" t="s">
        <v>419</v>
      </c>
      <c r="F51" s="22"/>
      <c r="G51" s="22" t="s">
        <v>420</v>
      </c>
    </row>
    <row r="52" ht="15.75" customHeight="1">
      <c r="A52" s="22" t="s">
        <v>215</v>
      </c>
      <c r="B52" s="22"/>
      <c r="C52" s="22"/>
      <c r="D52" s="22"/>
      <c r="E52" s="22" t="s">
        <v>419</v>
      </c>
      <c r="F52" s="22"/>
      <c r="G52" s="22" t="s">
        <v>420</v>
      </c>
    </row>
    <row r="53" ht="15.75" customHeight="1">
      <c r="A53" s="22" t="s">
        <v>42</v>
      </c>
      <c r="B53" s="22"/>
      <c r="C53" s="22"/>
      <c r="D53" s="22"/>
      <c r="E53" s="22" t="s">
        <v>419</v>
      </c>
      <c r="F53" s="22"/>
      <c r="G53" s="22" t="s">
        <v>420</v>
      </c>
    </row>
    <row r="54" ht="15.75" customHeight="1">
      <c r="A54" s="22" t="s">
        <v>93</v>
      </c>
      <c r="B54" s="22" t="s">
        <v>427</v>
      </c>
      <c r="C54" s="22">
        <v>4.95</v>
      </c>
      <c r="D54" s="22">
        <v>12.95</v>
      </c>
      <c r="E54" s="22" t="s">
        <v>419</v>
      </c>
      <c r="F54" s="22"/>
      <c r="G54" s="22" t="s">
        <v>422</v>
      </c>
    </row>
    <row r="55" ht="15.75" customHeight="1">
      <c r="A55" s="22" t="s">
        <v>121</v>
      </c>
      <c r="B55" s="22" t="s">
        <v>428</v>
      </c>
      <c r="C55" s="22">
        <v>8.2</v>
      </c>
      <c r="D55" s="22">
        <v>28.8</v>
      </c>
      <c r="E55" s="22" t="s">
        <v>419</v>
      </c>
      <c r="F55" s="22"/>
      <c r="G55" s="22" t="s">
        <v>422</v>
      </c>
    </row>
    <row r="56" ht="15.75" customHeight="1">
      <c r="A56" s="22" t="s">
        <v>218</v>
      </c>
      <c r="B56" s="22"/>
      <c r="C56" s="22"/>
      <c r="D56" s="22"/>
      <c r="E56" s="22" t="s">
        <v>419</v>
      </c>
      <c r="F56" s="22"/>
      <c r="G56" s="22" t="s">
        <v>420</v>
      </c>
    </row>
    <row r="57" ht="15.75" customHeight="1"/>
    <row r="58" ht="15.75" customHeight="1">
      <c r="A58" s="23" t="s">
        <v>429</v>
      </c>
    </row>
    <row r="59" ht="15.75" customHeight="1">
      <c r="A59" s="24" t="s">
        <v>423</v>
      </c>
      <c r="B59" s="24">
        <v>1.0</v>
      </c>
    </row>
    <row r="60" ht="15.75" customHeight="1">
      <c r="A60" s="24" t="s">
        <v>416</v>
      </c>
      <c r="B60" s="24">
        <v>2.0</v>
      </c>
    </row>
    <row r="61" ht="15.75" customHeight="1">
      <c r="A61" s="24" t="s">
        <v>430</v>
      </c>
      <c r="B61" s="24">
        <v>0.0</v>
      </c>
    </row>
    <row r="62" ht="15.75" customHeight="1">
      <c r="A62" s="24" t="s">
        <v>419</v>
      </c>
      <c r="B62" s="24">
        <v>48.0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1.0" footer="0.0" header="0.0" left="0.75" right="0.75" top="1.0"/>
  <pageSetup orientation="landscape"/>
  <drawing r:id="rId1"/>
</worksheet>
</file>