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 Web Search Data" sheetId="1" r:id="rId5"/>
    <sheet state="visible" name="Citation Sources" sheetId="2" r:id="rId6"/>
    <sheet state="visible" name="Summary Stats" sheetId="3" r:id="rId7"/>
    <sheet state="visible" name="Methodology" sheetId="4" r:id="rId8"/>
    <sheet state="visible" name="APR Classification" sheetId="5" r:id="rId9"/>
  </sheets>
  <definedNames>
    <definedName hidden="1" localSheetId="0" name="_xlnm._FilterDatabase">'AI + Web Search Data'!$A$1:$P$1</definedName>
    <definedName hidden="1" localSheetId="1" name="_xlnm._FilterDatabase">'Citation Sources'!$A$1:$B$1</definedName>
  </definedNames>
  <calcPr/>
</workbook>
</file>

<file path=xl/sharedStrings.xml><?xml version="1.0" encoding="utf-8"?>
<sst xmlns="http://schemas.openxmlformats.org/spreadsheetml/2006/main" count="1075" uniqueCount="533">
  <si>
    <t>Bank</t>
  </si>
  <si>
    <t>Product Type</t>
  </si>
  <si>
    <t>Product Page URL</t>
  </si>
  <si>
    <t>Min APR</t>
  </si>
  <si>
    <t>Max APR</t>
  </si>
  <si>
    <t>Max Loan Amount</t>
  </si>
  <si>
    <t>Min Loan Amount</t>
  </si>
  <si>
    <t>Min Age</t>
  </si>
  <si>
    <t>Max Term</t>
  </si>
  <si>
    <t>Searches Run</t>
  </si>
  <si>
    <t>Search Queries
(EXPOSED by Gemini)</t>
  </si>
  <si>
    <t>Cited Domains
(shaped the answer)</t>
  </si>
  <si>
    <t>Cited Snippets</t>
  </si>
  <si>
    <t>All Result URLs
(returned by search engine)</t>
  </si>
  <si>
    <t>Notes</t>
  </si>
  <si>
    <t>Data Source</t>
  </si>
  <si>
    <t>Avida Finans AB</t>
  </si>
  <si>
    <t>consumer_loan</t>
  </si>
  <si>
    <t>https://www.avida.se/privat/privatlan/</t>
  </si>
  <si>
    <t>11.15%</t>
  </si>
  <si>
    <t>29.50%</t>
  </si>
  <si>
    <t>350000</t>
  </si>
  <si>
    <t>10000</t>
  </si>
  <si>
    <t>20</t>
  </si>
  <si>
    <t>15 years</t>
  </si>
  <si>
    <t>• Avida Finans AB privatlån
• Avida Finans AB consumer loan terms
• Avida Finans AB ränta privatlån
• Avida Finans AB villkor privatlån</t>
  </si>
  <si>
    <t>(Gemini exposes only opaque Vertex
redirect URIs, not source URLs.)</t>
  </si>
  <si>
    <t>No collateral required. Must be folkbokförd (registered) in Sweden. No payment remarks or debts with Kronofogden. Minimum annual income of 150,000 SEK. Requires BankID. Upfront fee of 179 SEK. Adminis</t>
  </si>
  <si>
    <t>Google Gemini 2.5 Flash + google_search grounding</t>
  </si>
  <si>
    <t>Bjursås Sparbank</t>
  </si>
  <si>
    <t>https://www.bjursassparbank.se/lana-pengar/ansok-om-lan-till-allt</t>
  </si>
  <si>
    <t>5.95%</t>
  </si>
  <si>
    <t>16.09%</t>
  </si>
  <si>
    <t>500000</t>
  </si>
  <si>
    <t>20000</t>
  </si>
  <si>
    <t>18</t>
  </si>
  <si>
    <t>12 years</t>
  </si>
  <si>
    <t>• Bjursås Sparbank privatlån
• Bjursås Sparbank räntor privatlån
• Bjursås Sparbank lånevillkor</t>
  </si>
  <si>
    <t>The interest rate is variable and set individually based on your financial circumstances. You must be at least 18 years old, have a regular income (not benefits or student aid), and sufficient financi</t>
  </si>
  <si>
    <t>Brixo AB</t>
  </si>
  <si>
    <t>https://brixo.se/privatlan/</t>
  </si>
  <si>
    <t>22.80%</t>
  </si>
  <si>
    <t>150000 SEK</t>
  </si>
  <si>
    <t>10000 SEK</t>
  </si>
  <si>
    <t>21</t>
  </si>
  <si>
    <t>• Brixo AB official website
• Brixo AB privatlån
• Brixo AB consumer loan terms
• Brixo AB ränta
• Brixo AB lånebelopp
• Brixo AB åldersgräns
• Brixo AB återbetalningstid</t>
  </si>
  <si>
    <t>brixo.se
xn--blancoln-g0a.nu
ekonomival.se
finansvalp.se</t>
  </si>
  <si>
    <t>brixo.se
brixo.se
xn--blancoln-g0a.nu
ekonomival.se
finansvalp.se</t>
  </si>
  <si>
    <t>Brixo offers personal loans (privatlån) with a nominal annual interest rate of 19.95%. The effective annual percentage rate (APR) is 22.8% based on a representative example of a 75,000 SEK loan repaid</t>
  </si>
  <si>
    <t>Brocc Finance AB</t>
  </si>
  <si>
    <t>https://brocc.se/lana/</t>
  </si>
  <si>
    <t>4.95%</t>
  </si>
  <si>
    <t>22.00%</t>
  </si>
  <si>
    <t>400000 SEK</t>
  </si>
  <si>
    <t>• Brocc Finance AB privatlån
• Brocc Finance AB ränta
• Brocc Finance AB lånevillkor
• Brocc Finance AB lån</t>
  </si>
  <si>
    <t>sambla.se
mystep.se
konsumentguiden.se
lendo.se
brocc.se</t>
  </si>
  <si>
    <t>Individual interest rate. No collateral required. Must have an annual income of at least 150,000 SEK. No payment remarks or debt with Kronofogden. Must have been registered in Sweden for at least 3 ye</t>
  </si>
  <si>
    <t>Credento Bank AB</t>
  </si>
  <si>
    <t>https://www.credento.se/</t>
  </si>
  <si>
    <t>14.82%</t>
  </si>
  <si>
    <t>29.27%</t>
  </si>
  <si>
    <t>100000 SEK</t>
  </si>
  <si>
    <t>1000 SEK</t>
  </si>
  <si>
    <t>25</t>
  </si>
  <si>
    <t>• Credento Bank AB privatlån
• Credento Bank AB konsumentkredit
• Credento Bank AB official website
• Credento Bank AB lånevillkor</t>
  </si>
  <si>
    <t>kreditkoll.nu
xn--privatlnlistan-rib.se
credento.se
trygga.com
axofinans.se
xn--lnen-qoa.se
mystep.se</t>
  </si>
  <si>
    <t>kreditkoll.nu
xn--privatlnlistan-rib.se
credento.se
trygga.com
axofinans.se
xn--lnen-qoa.se
credento.se
mystep.se
credento.se
credento.se</t>
  </si>
  <si>
    <t>Credento Privatlån is offered by TF Bank AB. There are no setup fees or administrative fees. A reminder fee of 60 SEK applies for late payments. Borrowers can utilize up to two payment-free months per</t>
  </si>
  <si>
    <t>Facit Bank Filial</t>
  </si>
  <si>
    <t>https://www.facitbank.se/priser-och-villkor</t>
  </si>
  <si>
    <t>9.82%</t>
  </si>
  <si>
    <t>35.21%</t>
  </si>
  <si>
    <t>100000</t>
  </si>
  <si>
    <t>unknown</t>
  </si>
  <si>
    <t>10 years</t>
  </si>
  <si>
    <t>• Facit Bank Filial konsumtionslån
• Facit Bank Filial privatlån
• Facit Bank Filial lån villkor
• Facit Bank Filial ränta</t>
  </si>
  <si>
    <t>facitbank.se
mystep.se
xn--svenskaprivatln-ulb.se
kreditium.se</t>
  </si>
  <si>
    <t>facitbank.se
facitbank.se
mystep.se
xn--svenskaprivatln-ulb.se
kreditium.se</t>
  </si>
  <si>
    <t>Facit Bank offers consumer loans ('konsumtionslån') up to 100,000 SEK and consolidation loans ('samlingslån') up to 250,000 SEK. The nominal interest rate ranges from 7.90% to 15.90%. The effective an</t>
  </si>
  <si>
    <t>Falkenbergs Sparbank AB</t>
  </si>
  <si>
    <t>https://vertexaisearch.cloud.google.com/grounding-api-redirect/AUZIYQFrpSwA5Htll7rMag8GJOUjhj_3gUurCm3KhY24vNJkdpgWZU6X8-kyGFx5QJ-7UedHd-Yja3dzy9N6RjQFpFtqe7aj2X-RT-wFqXUkF76Eh-skEOV5kCCdsiv3vFJs90P1Rfv1boQcCVLOgs9fL2sY6MUdhBT-j274FpQW8TDxH4D36iMaN1l87Qowu-NnycODhOtWMw</t>
  </si>
  <si>
    <t>500000 SEK</t>
  </si>
  <si>
    <t>20000 SEK</t>
  </si>
  <si>
    <t>• Falkenbergs Sparbank AB privatlån
• Falkenbergs Sparbank AB konsumentlån
• Falkenbergs Sparbank privatlån maxbelopp
• Falkenbergs Sparbank privatlån minsta belopp
• Falkenbergs Sparbank privatlån maximal återbetalningstid</t>
  </si>
  <si>
    <t>falkenbergssparbank.se</t>
  </si>
  <si>
    <t>falkenbergssparbank.se
falkenbergssparbank.se
falkenbergssparbank.se
falkenbergssparbank.se
falkenbergssparbank.se</t>
  </si>
  <si>
    <t>The stated 'apr_range' refers to the nominal interest rate range ('räntespann'). The effective annual percentage rate (APR) for a specific loan may vary due to individual credit assessment and additio</t>
  </si>
  <si>
    <t>Högsby Sparbank</t>
  </si>
  <si>
    <t>https://www.hogsbysparbank.se/privat/lana/privatlan.html</t>
  </si>
  <si>
    <t>6.20%</t>
  </si>
  <si>
    <t>16.34%</t>
  </si>
  <si>
    <t>Not specified</t>
  </si>
  <si>
    <t>5 years</t>
  </si>
  <si>
    <t>• Högsby Sparbank privatlån
• Högsby Sparbank konsumentkredit
• Högsby Sparbank räntor privatlån</t>
  </si>
  <si>
    <t>hogsbysparbank.se</t>
  </si>
  <si>
    <t>hogsbysparbank.se
hogsbysparbank.se
hogsbysparbank.se</t>
  </si>
  <si>
    <t>The stated APR range refers to the nominal interest rate, which is variable and set individually based on the borrower's financial circumstances. The effective annual percentage rate (APR) is also set</t>
  </si>
  <si>
    <t>ICA Banken AB</t>
  </si>
  <si>
    <t>https://www.icabanken.se/lana/privatlan/</t>
  </si>
  <si>
    <t>6.00%</t>
  </si>
  <si>
    <t>17.17%</t>
  </si>
  <si>
    <t>600000 SEK</t>
  </si>
  <si>
    <t>• ICA Banken privatlån
• ICA Banken lån ränta villkor
• ICA Banken privatlån ålderskrav
• ICA Banken privatlån maximal löptid
• ICA Banken privatlån effektiva räntan</t>
  </si>
  <si>
    <t>Applicants must have a fixed income of at least 240,000 SEK/year, no payment remarks (betalningsanmärkningar), and be registered in Sweden (folkbokförd i Sverige). The interest rate is set individuall</t>
  </si>
  <si>
    <t>Ikano Bank AB</t>
  </si>
  <si>
    <t>https://www.ikanobank.se/lana-pengar/privatlan/</t>
  </si>
  <si>
    <t>6.49%</t>
  </si>
  <si>
    <t>20.81%</t>
  </si>
  <si>
    <t>15 år</t>
  </si>
  <si>
    <t>• Ikano Bank AB privatlån villkor
• Ikano Bank privatlån ränta
• Ikano Bank consumer loan terms Sweden</t>
  </si>
  <si>
    <t>Sökande måste vara folkbokförd i Sverige och ha en fast årsinkomst på minst 180 000 kr. Inga betalningsanmärkningar accepteras. För lån upp till 50 000 kr är maximal återbetalningstid 6 år. För lån öv</t>
  </si>
  <si>
    <t>Ivetofta Sparbank i Bromölla</t>
  </si>
  <si>
    <t>https://www.ivetoftasparbank.se/privat/lana/lana-pengar.html</t>
  </si>
  <si>
    <t>200000</t>
  </si>
  <si>
    <t>5 år</t>
  </si>
  <si>
    <t>• Ivetofta Sparbank i Bromölla konsumentlån
• Ivetofta Sparbank i Bromölla privatlån ränta
• Ivetofta Sparbank i Bromölla lånevillkor</t>
  </si>
  <si>
    <t>Uppläggningsavgift: 300 SEK (0 SEK för Nyckelkund vid samlingslån). Aviseringsavgift: 0 SEK. Ingen betalningsanmärkning tillåten. Låntagaren ska ha regelbunden inkomst (ej bidrag eller studiemedel) oc</t>
  </si>
  <si>
    <t>Laholms Sparbank</t>
  </si>
  <si>
    <t>https://www.laholmssparbank.se/privat/lana-pengar/privatlan.html</t>
  </si>
  <si>
    <t>• Laholms Sparbank privatlån
• Laholms Sparbank konsumentkredit
• Laholms Sparbank räntor privatlån
• Laholms Sparbank lånevillkor
• Laholms Sparbank privatlån maxbelopp
• Laholms Sparbank privatlån lägsta belopp
• Laholms Sparbank privatlån återbetalningstid
• Laholms Sparbank privatlån villkor</t>
  </si>
  <si>
    <t>laholmssparbank.se</t>
  </si>
  <si>
    <t>laholmssparbank.se
laholmssparbank.se</t>
  </si>
  <si>
    <t>The APR range provided (5.95% - 16.09%) represents the nominal interest rate, which is variable and set individually based on the borrower's economic conditions. The effective annual percentage rate w</t>
  </si>
  <si>
    <t>Länsförsäkringar Bank Aktiebolag</t>
  </si>
  <si>
    <t>https://www.lansforsakringar.se/privat/bank/lana-pengar/privatlan/</t>
  </si>
  <si>
    <t>6.95%</t>
  </si>
  <si>
    <t>13.95%</t>
  </si>
  <si>
    <t>30000 SEK</t>
  </si>
  <si>
    <t>• Länsförsäkringar Bank privatlån
• Länsförsäkringar Bank konsumtionslån
• Länsförsäkringar Bank lånevillkor privatlån</t>
  </si>
  <si>
    <t>lansforsakringar.se
konsumentguiden.se</t>
  </si>
  <si>
    <t>lansforsakringar.se
lansforsakringar.se
konsumentguiden.se</t>
  </si>
  <si>
    <t>Requires valid Mobilt BankID. No payment remarks allowed. Must have been folkbokförd in Sweden for at least three years. Requires stable income from employment or pension. The creditor is LF Finans. A</t>
  </si>
  <si>
    <t>Länsförsäkringar Finans AB</t>
  </si>
  <si>
    <t>6.83%</t>
  </si>
  <si>
    <t>18.90%</t>
  </si>
  <si>
    <t>400000</t>
  </si>
  <si>
    <t>30000</t>
  </si>
  <si>
    <t>15</t>
  </si>
  <si>
    <t>• Länsförsäkringar Finans AB privatlån ränta
• Länsförsäkringar Finans AB privatlån villkor
• Länsförsäkringar Finans AB konsumentkredit</t>
  </si>
  <si>
    <t>lansforsakringar.se
lffinans.se
mystep.se
kreditkoll.nu</t>
  </si>
  <si>
    <t>lansforsakringar.se
lffinans.se
mystep.se
lansforsakringar.se
kreditkoll.nu</t>
  </si>
  <si>
    <t>No payment remarks (betalningsanmärkningar) are accepted. Must have been folkbokförd in Sweden for at least 3 years. Must have a stable income from employment or pension. The interest rate is individu</t>
  </si>
  <si>
    <t>Lekebergs Sparbank</t>
  </si>
  <si>
    <t>https://www.lekebergssparbank.se/privat/lana/lana-pengar-ansok-om-privatlan.html</t>
  </si>
  <si>
    <t>12 år</t>
  </si>
  <si>
    <t>• Lekebergs Sparbank privatlån
• Lekebergs Sparbank konsumtionslån
• Lekebergs Sparbank räntor privatlån</t>
  </si>
  <si>
    <t>Räntan är rörlig och sätts individuellt efter dina ekonomiska förutsättningar. Du måste vara 18 år och ha en regelbunden inkomst som inte är bidrag eller studiemedel. Det ska finnas utrymme i din ekon</t>
  </si>
  <si>
    <t>Lönneberga-Tuna-Vena Sparbank</t>
  </si>
  <si>
    <t>https://www.ltvsparbank.se/lana-pengar/privatlan.html</t>
  </si>
  <si>
    <t>6.15%</t>
  </si>
  <si>
    <t>14.85%</t>
  </si>
  <si>
    <t>• Lönneberga-Tuna-Vena Sparbank privatlån
• Lönneberga-Tuna-Vena Sparbank konsumtionslån
• Lönneberga-Tuna-Vena Sparbank lånevillkor
• Lönneberga-Tuna-Vena Sparbank räntor</t>
  </si>
  <si>
    <t>ltvsparbank.se</t>
  </si>
  <si>
    <t>ltvsparbank.se
ltvsparbank.se
ltvsparbank.se</t>
  </si>
  <si>
    <t>To be eligible, you must be at least 18 years old, have a regular income (not from benefits or student aid), have no payment remarks (betalningsanmärkningar), and be a customer of Lönneberga-Tuna-Vena</t>
  </si>
  <si>
    <t>Markaryds Sparbank</t>
  </si>
  <si>
    <t>https://www.markarydssparbank.se/privat/lana/lan-till-allt/privatlan.html</t>
  </si>
  <si>
    <t>8.01%</t>
  </si>
  <si>
    <t>8.15%</t>
  </si>
  <si>
    <t>• Markaryds Sparbank privatlån
• Markaryds Sparbank konsumentkredit ränta
• Markaryds Sparbank lånevillkor</t>
  </si>
  <si>
    <t>markarydssparbank.se</t>
  </si>
  <si>
    <t>markarydssparbank.se
markarydssparbank.se
markarydssparbank.se</t>
  </si>
  <si>
    <t>The stated APR range (8.01% - 8.15%) is based on an example of a 100,000 SEK loan with a 5-year repayment period and a nominal interest rate of 7.73%. The lower end of the range applies to 'Nyckelkund</t>
  </si>
  <si>
    <t>Moank AB</t>
  </si>
  <si>
    <t>https://www.moank.se/</t>
  </si>
  <si>
    <t>N/A</t>
  </si>
  <si>
    <t>• Moank AB official website consumer loan
• Moank AB privatlån ränta
• Moank AB lånebelopp
• Moank AB åldersgräns
• Moank AB återbetalningstid
• Moank AB villkor privatlån</t>
  </si>
  <si>
    <t>moank.se</t>
  </si>
  <si>
    <t>Moank AB is currently not offering consumer loans (privatlån). They have chosen to focus on other ventures, but do not rule out offering new types of consumer loans in the future.</t>
  </si>
  <si>
    <t>Morrow Bank AB</t>
  </si>
  <si>
    <t>https://www.morrowbank.se/privatlan</t>
  </si>
  <si>
    <t>6.98%</t>
  </si>
  <si>
    <t>40.99%</t>
  </si>
  <si>
    <t>20 år</t>
  </si>
  <si>
    <t>• Morrow Bank AB konsumentlån
• Morrow Bank AB privatlån ränta
• Morrow Bank AB lånevillkor
• Morrow Bank AB product page</t>
  </si>
  <si>
    <t>morrowbank.se
mystep.se
trygga.com
finansvalp.se</t>
  </si>
  <si>
    <t>morrowbank.se
morrowbank.se
morrowbank.se
mystep.se
trygga.com
morrowbank.se
finansvalp.se</t>
  </si>
  <si>
    <t>Räntan är individuell. Låntagaren måste vara folkbokförd i Sverige och vara fri från betalningsanmärkningar eller inkasso. Möjlighet att ansöka med medsökande finns. Uppläggningsavgift: 580 kr. Admini</t>
  </si>
  <si>
    <t>Nordea Bank Abp, filial i Sverige</t>
  </si>
  <si>
    <t>https://www.nordea.se/privat/lana/vara-lan/privatlan.html</t>
  </si>
  <si>
    <t>5.24%</t>
  </si>
  <si>
    <t>13.97%</t>
  </si>
  <si>
    <t>• Nordea Sverige privatlån
• Nordea Bank Abp, filial i Sverige consumer lending terms
• Nordea privatlån ränta
• Nordea privatlån villkor
• Nordea lån åldersgräns</t>
  </si>
  <si>
    <t>finansvalp.se
hittalanet.se
nordea.se
konsumentguiden.se
xn--svenskaprivatln-ulb.se
kreditkoll.nu
prisfakta.se</t>
  </si>
  <si>
    <t>finansvalp.se
hittalanet.se
nordea.se
konsumentguiden.se
xn--svenskaprivatln-ulb.se
kreditkoll.nu
prisfakta.se
nordea.se</t>
  </si>
  <si>
    <t>The interest rate is individual and variable. No collateral is required. An application fee of 525 SEK applies. Extra payments and early repayment of the loan are free of charge. Co-applicants are all</t>
  </si>
  <si>
    <t>Nordea Finans Sverige AB</t>
  </si>
  <si>
    <t>https://www.nordeafinans.se/privat</t>
  </si>
  <si>
    <t>200000 SEK</t>
  </si>
  <si>
    <t>15000 SEK</t>
  </si>
  <si>
    <t>18 years</t>
  </si>
  <si>
    <t>• Nordea Finans Sverige AB privatlån
• Nordea Finans Sverige AB konsumentlån
• Nordea Finans Sverige AB consumer loans terms
• Nordea Finans Sverige AB ränta privatlån</t>
  </si>
  <si>
    <t>xn--privatlnlistan-rib.se
nordeafinance.se</t>
  </si>
  <si>
    <t>Nordea Finans Sverige AB offers an unsecured personal loan referred to as 'privatlån' or 'e-lån'. To apply, borrowers generally need to be registered in Sweden (folkbokförd), have a Swedish personal n</t>
  </si>
  <si>
    <t>Northmill Bank AB</t>
  </si>
  <si>
    <t>https://www.northmill.com/se/lana-pengar/kontokredit/</t>
  </si>
  <si>
    <t>9.71%</t>
  </si>
  <si>
    <t>30.59%</t>
  </si>
  <si>
    <t>50000 SEK</t>
  </si>
  <si>
    <t>6 years</t>
  </si>
  <si>
    <t>• Northmill Bank AB privatlån
• Northmill Bank AB consumer loans Sweden
• Northmill Bank AB ränta privatlån
• Northmill Bank AB lånevillkor
• Northmill Bank AB avgifter privatlån</t>
  </si>
  <si>
    <t>sambla.se
trygga.com
xn--svenskaprivatln-ulb.se
advisa.se
lendo.se
flexlimit.se
northmill.com
xn--lnen-qoa.se
mystep.se</t>
  </si>
  <si>
    <t>sambla.se
trygga.com
xn--svenskaprivatln-ulb.se
advisa.se
lendo.se
flexlimit.se
northmill.com
xn--lnen-qoa.se
northmill.com
northmill.com
northmill.com
mystep.se</t>
  </si>
  <si>
    <t>Northmill Bank offers a Kontokredit (revolving credit facility) as a flexible consumer loan. The effective annual percentage rate (APR) is individually determined based on a credit assessment. In some</t>
  </si>
  <si>
    <t>Resurs Bank Aktiebolag</t>
  </si>
  <si>
    <t>https://www.resursbank.se/lana-pengar/privatlan</t>
  </si>
  <si>
    <t>7.63%</t>
  </si>
  <si>
    <t>32.54%</t>
  </si>
  <si>
    <t>• Resurs Bank privatlån
• Resurs Bank Aktiebolag konsumentkredit villkor
• Resurs Bank lån åldersgräns
• Resurs Bank max lånebelopp
• Resurs Bank min lånebelopp
• Resurs Bank ränta privatlån</t>
  </si>
  <si>
    <t>finansvalp.se
xn--lneo-qoa.se
lanekoll.se
dittprivatlan.se
kredity.se
resursbank.se</t>
  </si>
  <si>
    <t>finansvalp.se
xn--lneo-qoa.se
lanekoll.se
dittprivatlan.se
kredity.se
resursbank.se
resursbank.se
resursbank.se
resursbank.se
resursbank.se</t>
  </si>
  <si>
    <t>Requires a fixed annual income of at least 240,000 SEK/year. No payment remarks or outstanding debts with Kronofogden are accepted. Applicants must not be on long-term sick leave (more than 50%). An s</t>
  </si>
  <si>
    <t>Roslagens Sparbank</t>
  </si>
  <si>
    <t>https://vertexaisearch.cloud.google.com/grounding-api-redirect/AUZIYQFtIcCDl1ZwxoSest6K1m-24G46439ZZtzdDFZPPauMUm2CA6aD20MWCoyZhEUsWgmt2q6qZQUQo87aSWk79LvyXodYUOMi9cjjwdC391Tktc9EKH_3mCaA-LMK3kWFfrstypCYFyo0F4LJIV8SECAuOZ0SlKBn2a9JF7IFEDs=</t>
  </si>
  <si>
    <t>6.34%</t>
  </si>
  <si>
    <t>15.84%</t>
  </si>
  <si>
    <t>• Roslagens Sparbank privatlån
• Roslagens Sparbank lånevillkor
• Roslagens Sparbank effektiv ränta</t>
  </si>
  <si>
    <t>roslagenssparbank.se</t>
  </si>
  <si>
    <t>roslagenssparbank.se
roslagenssparbank.se
roslagenssparbank.se</t>
  </si>
  <si>
    <t>The borrower must be at least 18 years old and have a regular income (not from benefits or student aid). There should be no payment remarks (betalningsanmärkningar). A credit check is performed upon a</t>
  </si>
  <si>
    <t>Sala Sparbank</t>
  </si>
  <si>
    <t>https://www.salasparbank.se/privat/lana/laneprodukter/lanapengar.html</t>
  </si>
  <si>
    <t>• Sala Sparbank privatlån
• Sala Sparbank lånevillkor privatlån
• Sala Sparbank konsumentkredit</t>
  </si>
  <si>
    <t>The interest rate is variable and set individually based on the borrower's financial situation. An origination fee (uppläggningsavgift) of 300 SEK applies (0 SEK for Nyckelkund). An administration fee</t>
  </si>
  <si>
    <t>Santander Consumer Bank AS Norge, Sverige Filial</t>
  </si>
  <si>
    <t>https://www.santanderconsumer.se/lana/konsumentlan/</t>
  </si>
  <si>
    <t>6.63%</t>
  </si>
  <si>
    <t>16.02%</t>
  </si>
  <si>
    <t>• Santander Consumer Bank Sverige privatlån
• Santander Consumer Bank Sverige konsumtionslån villkor</t>
  </si>
  <si>
    <t>Effective interest rate is set individually after credit assessment. No setup fee. No invoice fee if Autogiro is used (otherwise 19 SEK). Borrower must be a Swedish citizen, have an annual income of a</t>
  </si>
  <si>
    <t>SBAB Bank AB</t>
  </si>
  <si>
    <t>https://www.sbab.se/privatlan</t>
  </si>
  <si>
    <t>4.59%</t>
  </si>
  <si>
    <t>9.33%</t>
  </si>
  <si>
    <t>• SBAB Bank AB privatlån ränta
• SBAB Bank AB konsumtionslån villkor
• SBAB Bank AB låna pengar
• SBAB bolån</t>
  </si>
  <si>
    <t>Minimum annual income of 225,000 SEK (or combined if two applicants). No payment remarks (betalningsanmärkningar). Requires a credit check. Currently, SBAB offers personal loans to existing loan custo</t>
  </si>
  <si>
    <t>Sidensjö Sparbank</t>
  </si>
  <si>
    <t>https://www.sidensjosparbank.se/privat/lana/lanetjanster/</t>
  </si>
  <si>
    <t>• Sidensjö Sparbank privatlån
• Sidensjö Sparbank lån
• Sidensjö Sparbank consumer loan terms
• Sidensjö Sparbank privatlån effektiv ränta spann
• Sidensjö Sparbank privatlån effektiv ränta intervall</t>
  </si>
  <si>
    <t>sidensjosparbank.se</t>
  </si>
  <si>
    <t>sidensjosparbank.se
sidensjosparbank.se
sidensjosparbank.se
sidensjosparbank.se
sidensjosparbank.se</t>
  </si>
  <si>
    <t>The nominal interest rate is variable and ranges from 5.95% to 16.09% (latest interest rate change 2025-10-03) and is set individually based on the borrower's financial situation. An example calculati</t>
  </si>
  <si>
    <t>Skandinaviska Enskilda Banken AB</t>
  </si>
  <si>
    <t>https://seb.se/privat/lana/privatlan-och-krediter/privatlan-och-blancolan</t>
  </si>
  <si>
    <t>7.24%</t>
  </si>
  <si>
    <t>15.74%</t>
  </si>
  <si>
    <t>350000 SEK</t>
  </si>
  <si>
    <t>• SEB privatlån ränta
• Skandinaviska Enskilda Banken AB privatlån villkor
• SEB consumer loan sweden terms</t>
  </si>
  <si>
    <t>seb.se
finansvalp.se
xn--privatlnlistan-rib.se</t>
  </si>
  <si>
    <t>seb.se
seb.se
seb.se
finansvalp.se
seb.se
xn--privatlnlistan-rib.se
seb.se</t>
  </si>
  <si>
    <t>To apply for Enkla lånet (The Easy Loan), applicants must be customers of SEB and have access to their internet bank. The annual interest rate is currently between 6.20% and 13.65%. The effective inte</t>
  </si>
  <si>
    <t>Skurups Sparbank</t>
  </si>
  <si>
    <t>https://www.skurupssparbank.se/privat/lana-pengar/privatlan.html</t>
  </si>
  <si>
    <t>5.20%</t>
  </si>
  <si>
    <t>15.34%</t>
  </si>
  <si>
    <t>• Skurups Sparbank privatlån
• Skurups Sparbank konsumtionslån
• Skurups Sparbank lånevillkor privatlån
• Skurups Sparbank privatlån maximal återbetalningstid
• Skurups Sparbank privatlån löptid
• Skurups Sparbank privatlån villkor</t>
  </si>
  <si>
    <t>skurupssparbank.se</t>
  </si>
  <si>
    <t>skurupssparbank.se
skurupssparbank.se
skurupssparbank.se
skurupssparbank.se
skurupssparbank.se</t>
  </si>
  <si>
    <t>Requires regular income (not from benefits or student aid). No payment remarks allowed. Must be a customer of Skurups Sparbank. The interest rate is individual and variable. Setup fee of 300 SEK (0 SE</t>
  </si>
  <si>
    <t>Sörmlands Sparbank AB</t>
  </si>
  <si>
    <t>https://www.sormlandssparbank.se/lana-pengar/privatlan/</t>
  </si>
  <si>
    <t>• Sörmlands Sparbank AB privatlån ränta
• Sörmlands Sparbank AB konsumtionslån villkor
• Sörmlands Sparbank AB låna pengar privat
• Sörmlands Sparbank AB räntor och avgifter privatlån</t>
  </si>
  <si>
    <t>sormlandssparbank.se</t>
  </si>
  <si>
    <t>sormlandssparbank.se
sormlandssparbank.se
sormlandssparbank.se
sormlandssparbank.se
sormlandssparbank.se</t>
  </si>
  <si>
    <t xml:space="preserve">The interest rate is variable and set individually based on the borrower's financial situation. An arrangement fee of 300 SEK applies (0 SEK for 'Nyckelkund'). An invoicing fee of 0 SEK for e-invoice </t>
  </si>
  <si>
    <t>Sparbanken Bergslagen AB</t>
  </si>
  <si>
    <t>https://www.sparbankenbergslagen.se/privat/lana/lana-100000/</t>
  </si>
  <si>
    <t>• Sparbanken Bergslagen AB privatlån
• Sparbanken Bergslagen AB lån privatpersoner villkor ränta
• Sparbanken Bergslagen AB privatlån maximalt lånebelopp
• Sparbanken Bergslagen AB privatlån minsta lånebelopp
• Sparbanken Bergslagen AB privatlån maximal återbetalningstid</t>
  </si>
  <si>
    <t>sparbankenbergslagen.se</t>
  </si>
  <si>
    <t>sparbankenbergslagen.se
sparbankenbergslagen.se
sparbankenbergslagen.se
sparbankenbergslagen.se
sparbankenbergslagen.se
sparbankenbergslagen.se</t>
  </si>
  <si>
    <t>The interest rate is variable and individually set based on the borrower's financial situation. An establishment fee of 300 SEK applies (0 SEK for 'Nyckelkund' - Key Customer). There is no invoicing f</t>
  </si>
  <si>
    <t>Sparbanken Gotland</t>
  </si>
  <si>
    <t>https://www.sparbankengotland.se/lana/lana-pengar-privatlan</t>
  </si>
  <si>
    <t>12</t>
  </si>
  <si>
    <t>• Sparbanken Gotland privatlån
• Sparbanken Gotland räntor privatlån
• Sparbanken Gotland konsumtionslån
• Sparbanken Gotland privatlån effektiv ränta intervall
• Sparbanken Gotland privatlån maximal löptid
• Sparbanken Gotland privatlån löptidsvillkor
• Sparbanken Gotland privatlån villkor ålder</t>
  </si>
  <si>
    <t>sparbankengotland.se</t>
  </si>
  <si>
    <t>sparbankengotland.se
sparbankengotland.se</t>
  </si>
  <si>
    <t xml:space="preserve">The nominal interest rate is variable and ranges from 6.40% to 16.95% (last changed 2025-02-24) and is set individually based on the borrower's financial situation. For an example loan of 100,000 SEK </t>
  </si>
  <si>
    <t>Sparbanken Mälardalen AB</t>
  </si>
  <si>
    <t>https://www.sparbankenmalardalen.se/privatlan/</t>
  </si>
  <si>
    <t>Not explicitly stated; examples show 5 years</t>
  </si>
  <si>
    <t>• Sparbanken Mälardalen AB privatlån
• Sparbanken Mälardalen AB konsumentkredit
• Sparbanken Mälardalen AB lånevillkor privatlån
• Sparbanken Mälardalen AB räntor privatlån</t>
  </si>
  <si>
    <t>sparbankenmalardalen.se
sparbankenvm.se</t>
  </si>
  <si>
    <t>sparbankenmalardalen.se
sparbankenmalardalen.se
sparbankenvm.se</t>
  </si>
  <si>
    <t xml:space="preserve">The interest rate is variable and set individually based on your financial circumstances. The effective annual percentage rate (APR) is calculated individually, including fees. For example, a loan of </t>
  </si>
  <si>
    <t>Sparbanken Nord</t>
  </si>
  <si>
    <t>https://www.sparbankennord.se/lana-pengar/privatlan/</t>
  </si>
  <si>
    <t>5.45%</t>
  </si>
  <si>
    <t>10.30%</t>
  </si>
  <si>
    <t>• Sparbanken Nord privatlån
• Sparbanken Nord konsumtionslån
• Sparbanken Nord ränta privatlån
• Sparbanken Nord lånevillkor</t>
  </si>
  <si>
    <t>sparbankennord.se</t>
  </si>
  <si>
    <t>sparbankennord.se
sparbankennord.se</t>
  </si>
  <si>
    <t>The interest rate is variable and set individually based on the borrower's financial situation. An origination fee of 495 SEK applies. The monthly administration fee (avieringsavgift) is 0 SEK. To qua</t>
  </si>
  <si>
    <t>Sparbanken Sjuhärad AB</t>
  </si>
  <si>
    <t>https://www.sparbankensjuharad.se/privat/lana/privatlan.html</t>
  </si>
  <si>
    <t>6.90%</t>
  </si>
  <si>
    <t>15.90%</t>
  </si>
  <si>
    <t>• Sparbanken Sjuhärad AB privatlån
• Sparbanken Sjuhärad AB konsumentkredit villkor
• Sparbanken Sjuhärad AB låna pengar privat</t>
  </si>
  <si>
    <t>sparbankensjuharad.se</t>
  </si>
  <si>
    <t>sparbankensjuharad.se
sparbankensjuharad.se
sparbankensjuharad.se
sparbankensjuharad.se</t>
  </si>
  <si>
    <t>Borrower must be a customer of Sparbanken Sjuhärad AB. Requires regular income (not from benefits or student aid) and no payment remarks. A credit check is performed upon application. An origination f</t>
  </si>
  <si>
    <t>Sparbanken Skåne AB</t>
  </si>
  <si>
    <t>https://www.sparbankenskane.se/lana/lana-pengar/privatlan/</t>
  </si>
  <si>
    <t>17.15%</t>
  </si>
  <si>
    <t>• Sparbanken Skåne AB privatlån
• Sparbanken Skåne privatlån effektiv ränta
• Sparbanken Skåne låna pengar villkor</t>
  </si>
  <si>
    <t>sparbankenskane.se</t>
  </si>
  <si>
    <t>sparbankenskane.se
sparbankenskane.se
sparbankenskane.se
sparbankenskane.se
sparbankenskane.se</t>
  </si>
  <si>
    <t xml:space="preserve">The interest rate is variable and set individually based on your economic conditions. You must be a customer of Sparbanken Skåne to apply for the loan. No payment remarks are allowed. You must have a </t>
  </si>
  <si>
    <t>Sparbanken Skaraborg AB</t>
  </si>
  <si>
    <t>https://www.sparbankenskaraborg.se/privat/lana/privatlan/</t>
  </si>
  <si>
    <t>• Sparbanken Skaraborg AB privatlån
• Sparbanken Skaraborg AB blancolån
• Sparbanken Skaraborg AB konsumtionslån
• Sparbanken Skaraborg AB ränta privatlån</t>
  </si>
  <si>
    <t>sparbankenskaraborg.se</t>
  </si>
  <si>
    <t>sparbankenskaraborg.se
sparbankenskaraborg.se
sparbankenskaraborg.se
sparbankenskaraborg.se</t>
  </si>
  <si>
    <t>The interest rate is variable and set individually based on the borrower's financial circumstances. An individual credit assessment is carried out. The borrower must have a regular income (not benefit</t>
  </si>
  <si>
    <t>Sparbanken Spira AB</t>
  </si>
  <si>
    <t>https://www.sparbankenspira.se/privat/lana/lanapengaransokomprivatlan/</t>
  </si>
  <si>
    <t>None</t>
  </si>
  <si>
    <t>• Sparbanken Spira AB privatlån
• Sparbanken Spira AB konsumtionslån
• Sparbanken Spira AB ränta privatlån</t>
  </si>
  <si>
    <t>sparbankenspira.se</t>
  </si>
  <si>
    <t>sparbankenspira.se
sparbankenspira.se</t>
  </si>
  <si>
    <t>For digital applications, the maximum loan amount is SEK 350,000. If a higher amount is needed, or if not a current customer, an advisory meeting is required. The interest rate is variable, with the l</t>
  </si>
  <si>
    <t>Sparbanken Syd</t>
  </si>
  <si>
    <t>https://www.sparbankensyd.se/lana/privatlan/</t>
  </si>
  <si>
    <t>5.39%</t>
  </si>
  <si>
    <t>9.39%</t>
  </si>
  <si>
    <t>10 år</t>
  </si>
  <si>
    <t>• Sparbanken Syd privatlån
• Sparbanken Syd consumer loan terms</t>
  </si>
  <si>
    <t>xn--lnea-qoa.se
sparbankensyd.se
mystep.se</t>
  </si>
  <si>
    <t>xn--lnea-qoa.se
sparbankensyd.se
mystep.se
sparbankensyd.se
sparbankensyd.se</t>
  </si>
  <si>
    <t>To be eligible for a personal loan, you need to be a customer of Sparbanken Syd and reside in or have a connection to Skåne. The minimum annual income required is 180,000 SEK, and no payment remarks (</t>
  </si>
  <si>
    <t>Sparbanken Tanum</t>
  </si>
  <si>
    <t>https://www.sparbankentanum.se/lana/privatlan/lana-30000/</t>
  </si>
  <si>
    <t>• Sparbanken Tanum privatlån
• Sparbanken Tanum räntor privatlån
• Sparbanken Tanum lånevillkor privatlån
• Sparbanken Tanum konsumentkredit</t>
  </si>
  <si>
    <t>sparbankentanum.se</t>
  </si>
  <si>
    <t>sparbankentanum.se
sparbankentanum.se
sparbankentanum.se
sparbankentanum.se</t>
  </si>
  <si>
    <t>The stated APR range (6.20% - 16.34%) refers to the nominal interest rate, which is variable and set individually based on the borrower's financial situation. The effective annual percentage rate is c</t>
  </si>
  <si>
    <t>Svea Bank AB</t>
  </si>
  <si>
    <t>https://www.svea.com/privat/lana/privatlan/</t>
  </si>
  <si>
    <t>8.92%</t>
  </si>
  <si>
    <t>29.49%</t>
  </si>
  <si>
    <t>20 years</t>
  </si>
  <si>
    <t>• Svea Bank AB privatlån
• Svea Bank AB lån villkor
• Svea Bank AB effektiv ränta privatlån</t>
  </si>
  <si>
    <t>finansvalp.se
svea.com
lendo.se
xn--privatlnlistan-rib.se
trygga.com</t>
  </si>
  <si>
    <t>finansvalp.se
svea.com
svea.com
lendo.se
xn--privatlnlistan-rib.se
svea.com
trygga.com
svea.com</t>
  </si>
  <si>
    <t>Svea Bank offers consumer loans (privatlån) up to 400,000 SEK. The effective annual percentage rate (APR) ranges from 8.92% to 29.49%. The minimum loan amount is 10,000 SEK. The maximum repayment peri</t>
  </si>
  <si>
    <t>Svenska Handelsbanken AB</t>
  </si>
  <si>
    <t>https://www.handelsbanken.se/sv/privat/lana/privatlan</t>
  </si>
  <si>
    <t>7.80%</t>
  </si>
  <si>
    <t>16.08%</t>
  </si>
  <si>
    <t>• Handelsbanken privatlån
• Handelsbanken consumer loan terms and conditions
• Handelsbanken lånebelopp privatlån
• Handelsbanken ränta privatlån
• Handelsbanken åldersgräns privatlån
• Handelsbanken återbetalningstid privatlån</t>
  </si>
  <si>
    <t>konsumentguiden.se
handelsbanken.se
xn--lnen-qoa.se
xn--svenskaprivatln-ulb.se
kreditkoll.nu
xn--privatlnlistan-rib.se
mystep.se
xn--lnlgrnta-4zafc.se</t>
  </si>
  <si>
    <t>konsumentguiden.se
handelsbanken.se
xn--lnen-qoa.se
xn--svenskaprivatln-ulb.se
kreditkoll.nu
xn--privatlnlistan-rib.se
mystep.se
handelsbanken.se
xn--lnlgrnta-4zafc.se</t>
  </si>
  <si>
    <t>Applies to "Privatlån Direkt". Borrower must be a Handelsbanken customer with salary or pension deposited into a Handelsbanken account. Minimum annual income of 200,000 SEK. No payment remarks (betaln</t>
  </si>
  <si>
    <t>Swedbank AB</t>
  </si>
  <si>
    <t>https://www.swedbank.se/privat/lana/lana-pengar---ansok-om-privatlan.html</t>
  </si>
  <si>
    <t>6.25%</t>
  </si>
  <si>
    <t>17.49%</t>
  </si>
  <si>
    <t>• Swedbank AB privatlån ränta
• Swedbank AB privatlån villkor
• Swedbank AB låna pengar privat</t>
  </si>
  <si>
    <t>Must be a Swedbank customer. No payment remarks allowed. Interest rate is individual and based on creditworthiness. An origination fee of 300 SEK applies (0 SEK for Nyckelkund).</t>
  </si>
  <si>
    <t>TF Bank AB</t>
  </si>
  <si>
    <t>https://www.tfbank.se/lan</t>
  </si>
  <si>
    <t>22</t>
  </si>
  <si>
    <t>• TF Bank AB privatlån villkor
• TF Bank AB consumer loan terms
• TF Bank AB privatlån ränta
• TF Bank AB lån
• TF Bank AB official website</t>
  </si>
  <si>
    <t>tfbank.se
mystep.se
lendo.se
kreditkoll.nu
xn--lnen-qoa.se</t>
  </si>
  <si>
    <t>tfbank.se
mystep.se
tfbank.se
lendo.se
kreditkoll.nu
xn--lnen-qoa.se</t>
  </si>
  <si>
    <t>TF Bank AB (through its subsidiary TF Bank Nordic AB) offers 'privatlån' (consumer loans) without collateral. The nominal interest rate is individual and ranges from 9.90% to 16.40%. The effective ann</t>
  </si>
  <si>
    <t>TF Bank Nordic AB</t>
  </si>
  <si>
    <t>7.51%</t>
  </si>
  <si>
    <t>28.58%</t>
  </si>
  <si>
    <t>• TF Bank Nordic AB privatlån
• TF Bank Nordic AB lån villkor
• TF Bank Nordic AB ränta privatlån</t>
  </si>
  <si>
    <t>tfbank.se
enklare.se
xn--lnen-qoa.se
mystep.se
lendo.se
kreditkoll.nu</t>
  </si>
  <si>
    <t>tfbank.se
enklare.se
xn--lnen-qoa.se
mystep.se
tfbank.se
lendo.se
kreditkoll.nu</t>
  </si>
  <si>
    <t>No payment remarks accepted. Must be registered in Sweden. Must have a taxed annual income of at least 150,000 SEK. Application often handled via loan brokers like Lendo and Sambla. Setup fee: 390 SEK</t>
  </si>
  <si>
    <t>Ulricehamns Sparbank</t>
  </si>
  <si>
    <t>https://www.ulricehamnssparbank.se/sv/privat/lana/lana-pengar/privatlan/</t>
  </si>
  <si>
    <t>• Ulricehamns Sparbank privatlån
• Ulricehamns Sparbank konsumentkredit villkor
• Ulricehamns Sparbank räntor privatlån
• Ulricehamns Sparbank lån</t>
  </si>
  <si>
    <t>ulricehamnssparbank.se</t>
  </si>
  <si>
    <t>ulricehamnssparbank.se
ulricehamnssparbank.se
ulricehamnssparbank.se
ulricehamnssparbank.se
ulricehamnssparbank.se</t>
  </si>
  <si>
    <t>The provided APR range refers to the nominal interest rate, which is variable. The effective annual percentage rate is individual and depends on the specific loan amount and repayment period. For an e</t>
  </si>
  <si>
    <t>Vadstena Sparbank</t>
  </si>
  <si>
    <t>https://vertexaisearch.cloud.google.com/grounding-api-redirect/AUZIYQFmMbx1UuwOdpemEnHUcitqPQs4Yb--UplI50dt-QR3ly4Xc_E1vqSM6nI3te_mTOj-V2YiPDcjlN6kkGGVo84iwvRWGbgqBUIHxNAG7A7GM9E7TNJ-yS3TnFBl8donLuGCFmuyiWYKXo8Udv7INf6LuOO84f2NS7wKfdFdUCRxzdniH0ClBfBIQJAWdUIYZadtoKZojBVBTGX44uoxbw==</t>
  </si>
  <si>
    <t>• Vadstena Sparbank privatlån
• Vadstena Sparbank lån ränta
• Vadstena Sparbank konsumentkredit</t>
  </si>
  <si>
    <t>vadstenasparbank.se</t>
  </si>
  <si>
    <t>vadstenasparbank.se
vadstenasparbank.se
vadstenasparbank.se</t>
  </si>
  <si>
    <t>Räntan är rörlig och sätts individuellt baserat på ekonomiska förutsättningar. Du måste vara kund hos Vadstena Sparbank för att ansöka om lån. Låntagaren måste ha en fast inkomst som inte består av bi</t>
  </si>
  <si>
    <t>Vimmerby Sparbank AB</t>
  </si>
  <si>
    <t>https://www.vimmerbysparbank.se/privat/lana/lanetjanster.html</t>
  </si>
  <si>
    <t>• Vimmerby Sparbank AB official website
• Vimmerby Sparbank privatlån ränta
• Vimmerby Sparbank konsumentkredit villkor</t>
  </si>
  <si>
    <t>vimmerbysparbank.se</t>
  </si>
  <si>
    <t>vimmerbysparbank.se
vimmerbysparbank.se</t>
  </si>
  <si>
    <t>The interest rate is variable and set individually based on your financial circumstances. Arrangement fee: 300 SEK (0 SEK for Nyckelkund). Notification fee for e-invoice: 0 SEK. For postal invoices, t</t>
  </si>
  <si>
    <t>Virserums Sparbank</t>
  </si>
  <si>
    <t>https://www.virserumssparbank.se/privat/lana-pengar/privatlan/</t>
  </si>
  <si>
    <t>6.18%</t>
  </si>
  <si>
    <t>14.70%</t>
  </si>
  <si>
    <t>• Virserums Sparbank privatlån
• Virserums Sparbank konsumentlån
• Virserums Sparbank lånevillkor
• Virserums Sparbank räntor privatlån</t>
  </si>
  <si>
    <t>virserumssparbank.se</t>
  </si>
  <si>
    <t>virserumssparbank.se
virserumssparbank.se
virserumssparbank.se</t>
  </si>
  <si>
    <t>The interest rate is variable and set individually based on the borrower's financial circumstances. An example effective annual percentage rate for a loan of 100,000 SEK with a nominal rate of 7.73% f</t>
  </si>
  <si>
    <t>Westra Wermlands Sparbank</t>
  </si>
  <si>
    <t>https://www.wwsparbank.se/lana/privatlan/</t>
  </si>
  <si>
    <t>15.59%</t>
  </si>
  <si>
    <t>• Westra Wermlands Sparbank privatlån
• Westra Wermlands Sparbank konsumentkredit
• Westra Wermlands Sparbank lånevillkor
• Westra Wermlands Sparbank privatlån max återbetalningstid
• Westra Wermlands Sparbank privatlån minsta belopp</t>
  </si>
  <si>
    <t>wwsparbank.se</t>
  </si>
  <si>
    <t>wwsparbank.se
wwsparbank.se
wwsparbank.se</t>
  </si>
  <si>
    <t>Loan without security. The interest rate is variable and set individually based on your financial situation. You must not have any payment remarks. You need to be a customer of the bank to apply for a</t>
  </si>
  <si>
    <t>Domain</t>
  </si>
  <si>
    <t>Times CITED
(shaped answers)</t>
  </si>
  <si>
    <t>mystep.se</t>
  </si>
  <si>
    <t>finansvalp.se</t>
  </si>
  <si>
    <t>kreditkoll.nu</t>
  </si>
  <si>
    <t>xn--privatlnlistan-rib.se</t>
  </si>
  <si>
    <t>lendo.se</t>
  </si>
  <si>
    <t>xn--lnen-qoa.se</t>
  </si>
  <si>
    <t>trygga.com</t>
  </si>
  <si>
    <t>konsumentguiden.se</t>
  </si>
  <si>
    <t>xn--svenskaprivatln-ulb.se</t>
  </si>
  <si>
    <t>lansforsakringar.se</t>
  </si>
  <si>
    <t>sambla.se</t>
  </si>
  <si>
    <t>tfbank.se</t>
  </si>
  <si>
    <t>morrowbank.se</t>
  </si>
  <si>
    <t>seb.se</t>
  </si>
  <si>
    <t>xn--lneo-qoa.se</t>
  </si>
  <si>
    <t>lanekoll.se</t>
  </si>
  <si>
    <t>dittprivatlan.se</t>
  </si>
  <si>
    <t>kredity.se</t>
  </si>
  <si>
    <t>resursbank.se</t>
  </si>
  <si>
    <t>sparbankenmalardalen.se</t>
  </si>
  <si>
    <t>sparbankenvm.se</t>
  </si>
  <si>
    <t>advisa.se</t>
  </si>
  <si>
    <t>flexlimit.se</t>
  </si>
  <si>
    <t>northmill.com</t>
  </si>
  <si>
    <t>svea.com</t>
  </si>
  <si>
    <t>handelsbanken.se</t>
  </si>
  <si>
    <t>xn--lnlgrnta-4zafc.se</t>
  </si>
  <si>
    <t>brixo.se</t>
  </si>
  <si>
    <t>xn--blancoln-g0a.nu</t>
  </si>
  <si>
    <t>ekonomival.se</t>
  </si>
  <si>
    <t>enklare.se</t>
  </si>
  <si>
    <t>brocc.se</t>
  </si>
  <si>
    <t>lffinans.se</t>
  </si>
  <si>
    <t>credento.se</t>
  </si>
  <si>
    <t>axofinans.se</t>
  </si>
  <si>
    <t>nordeafinance.se</t>
  </si>
  <si>
    <t>xn--lnea-qoa.se</t>
  </si>
  <si>
    <t>sparbankensyd.se</t>
  </si>
  <si>
    <t>hittalanet.se</t>
  </si>
  <si>
    <t>nordea.se</t>
  </si>
  <si>
    <t>prisfakta.se</t>
  </si>
  <si>
    <t>facitbank.se</t>
  </si>
  <si>
    <t>kreditium.se</t>
  </si>
  <si>
    <t>Gemini 2.5 Flash + google_search — Summary</t>
  </si>
  <si>
    <t>Count</t>
  </si>
  <si>
    <t>Metric</t>
  </si>
  <si>
    <t>Value</t>
  </si>
  <si>
    <t>Total lenders</t>
  </si>
  <si>
    <t>Web searches triggered</t>
  </si>
  <si>
    <t>Total web searches run</t>
  </si>
  <si>
    <t>Total cited URLs/domains</t>
  </si>
  <si>
    <t>Banks with any citation</t>
  </si>
  <si>
    <t>Avg searches per lender</t>
  </si>
  <si>
    <t>Banks with empty Min APR</t>
  </si>
  <si>
    <t>Methodology</t>
  </si>
  <si>
    <t>Model</t>
  </si>
  <si>
    <t>gemini-2.5-flash (Google Gemini API)</t>
  </si>
  <si>
    <t>Endpoint</t>
  </si>
  <si>
    <t>https://generativelanguage.googleapis.com/v1beta/models/gemini-2.5-flash:generateContent</t>
  </si>
  <si>
    <t>Web search tool</t>
  </si>
  <si>
    <t>tools: [{google_search: {}}] — Gemini's built-in Google Search grounding.</t>
  </si>
  <si>
    <t>Date run</t>
  </si>
  <si>
    <t>April 2026</t>
  </si>
  <si>
    <t>Citation behavior</t>
  </si>
  <si>
    <t>Gemini returns groundingMetadata with webSearchQueries (UNIQUE — no other provider exposes these) and groundingChunks[].web with {uri, title}. URIs are opaque Vertex AI redirect tokens.</t>
  </si>
  <si>
    <t>Reliability</t>
  </si>
  <si>
    <t>Concurrency=3, 51/51 successful.</t>
  </si>
  <si>
    <t>Input data</t>
  </si>
  <si>
    <t>Dataset With Banks For AI Search - Sheet1.csv — 51 Swedish/Scandinavian credit institutions</t>
  </si>
  <si>
    <t>Purpose</t>
  </si>
  <si>
    <t>Mimics a real user asking 'What are the loan terms for [Bank]?' — the model decides whether to search and returns structured JSON.</t>
  </si>
  <si>
    <t>Caveat</t>
  </si>
  <si>
    <t>Rates and terms change. This data reflects live web results as of the run date.</t>
  </si>
  <si>
    <t>Gemini 2.5 Flash + google_search — run_1 — APR rate-type classification</t>
  </si>
  <si>
    <t>Labels: effective = 'effektiv ränta' (Swedish APR). nominal = 'nominell' / 'årsränta' / 'rörlig ränta' / 'fast ränta' / 'kreditränta'. representative_example = 'räkneexempel' / 'representativt exempel'. unlabeled = no anchor within 80 chars of the APR number in this provider's cached response.</t>
  </si>
  <si>
    <t>Classification reads only this provider's own cached response (apr_range → notes → citation snippets). Ground-truth data is NOT consulted.</t>
  </si>
  <si>
    <t>APR Raw (from model)</t>
  </si>
  <si>
    <t>Rate Type</t>
  </si>
  <si>
    <t>Anchor Evidence</t>
  </si>
  <si>
    <t>Source Field</t>
  </si>
  <si>
    <t>6.00% - 17.17%</t>
  </si>
  <si>
    <t>unlabeled</t>
  </si>
  <si>
    <t>no_anchor_near_apr</t>
  </si>
  <si>
    <t>6.98% - 40.99%</t>
  </si>
  <si>
    <t>6.95% - 13.95%</t>
  </si>
  <si>
    <t>6.49% - 20.81%</t>
  </si>
  <si>
    <t>5.95% - 16.09%</t>
  </si>
  <si>
    <t>4.59% - 9.33%</t>
  </si>
  <si>
    <t>7.24% - 15.74%</t>
  </si>
  <si>
    <t>7.63% - 32.54%</t>
  </si>
  <si>
    <t>6.90% - 15.90%</t>
  </si>
  <si>
    <t>9.71% - 30.59%</t>
  </si>
  <si>
    <t>5.95% - 17.15%</t>
  </si>
  <si>
    <t>8.92% - 29.49%</t>
  </si>
  <si>
    <t>effective</t>
  </si>
  <si>
    <t>annual percentage rate</t>
  </si>
  <si>
    <t>notes</t>
  </si>
  <si>
    <t>7.80% - 16.08%</t>
  </si>
  <si>
    <t>6.25% - 17.49%</t>
  </si>
  <si>
    <t>11.15% - 29.50%</t>
  </si>
  <si>
    <t>22.8%</t>
  </si>
  <si>
    <t>7.51% - 28.58%</t>
  </si>
  <si>
    <t>no_apr_in_response</t>
  </si>
  <si>
    <t>4.95% - 22.00%</t>
  </si>
  <si>
    <t>6.83% - 18.90%</t>
  </si>
  <si>
    <t>Not explicitly stated as a range; see notes.</t>
  </si>
  <si>
    <t>14.82% - 29.27%</t>
  </si>
  <si>
    <t>Not specified in available search results for Nordea Finans e-lån.</t>
  </si>
  <si>
    <t>6.20% - 16.34%</t>
  </si>
  <si>
    <t>6.15% - 14.85%</t>
  </si>
  <si>
    <t>APR</t>
  </si>
  <si>
    <t>6.34% - 15.84%</t>
  </si>
  <si>
    <t>5.20% - 15.34%</t>
  </si>
  <si>
    <t>8.01% - 8.15%</t>
  </si>
  <si>
    <t>5.45% - 10.30%</t>
  </si>
  <si>
    <t>5.39% - 9.39%</t>
  </si>
  <si>
    <t>Varies individually, see notes</t>
  </si>
  <si>
    <t>6.18% - 14.70%</t>
  </si>
  <si>
    <t>5.45% - 15.59%</t>
  </si>
  <si>
    <t>5.24% - 13.97%</t>
  </si>
  <si>
    <t>9.82% - 35.21%</t>
  </si>
  <si>
    <t>6.63% - 16.02%</t>
  </si>
  <si>
    <t>Summary</t>
  </si>
  <si>
    <t>nominal</t>
  </si>
  <si>
    <t>representative_example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</si>
</sst>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9.0"/>
      <color theme="1"/>
      <name val="Arial"/>
    </font>
    <font>
      <b/>
      <sz val="9.0"/>
      <color theme="1"/>
      <name val="Arial"/>
    </font>
    <font>
      <b/>
      <sz val="13.0"/>
      <color rgb="FFFFFFFF"/>
      <name val="Arial"/>
    </font>
    <font/>
    <font>
      <b/>
      <sz val="13.0"/>
      <color theme="1"/>
      <name val="Calibri"/>
      <scheme val="minor"/>
    </font>
    <font>
      <sz val="11.0"/>
      <color theme="1"/>
      <name val="Calibri"/>
    </font>
    <font>
      <b/>
      <color rgb="FFFFFFFF"/>
      <name val="Calibri"/>
      <scheme val="minor"/>
    </font>
    <font>
      <b/>
      <color theme="1"/>
      <name val="Calibri"/>
      <scheme val="minor"/>
    </font>
    <font>
      <color theme="1"/>
      <name val="Calibri"/>
      <scheme val="minor"/>
    </font>
  </fonts>
  <fills count="12">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DAEEF3"/>
        <bgColor rgb="FFDAEEF3"/>
      </patternFill>
    </fill>
    <fill>
      <patternFill patternType="solid">
        <fgColor rgb="FFE2EFDA"/>
        <bgColor rgb="FFE2EFDA"/>
      </patternFill>
    </fill>
    <fill>
      <patternFill patternType="solid">
        <fgColor rgb="FFFFF2CC"/>
        <bgColor rgb="FFFFF2CC"/>
      </patternFill>
    </fill>
    <fill>
      <patternFill patternType="solid">
        <fgColor rgb="FFFFFDE7"/>
        <bgColor rgb="FFFFFDE7"/>
      </patternFill>
    </fill>
    <fill>
      <patternFill patternType="solid">
        <fgColor rgb="FFF0F0F0"/>
        <bgColor rgb="FFF0F0F0"/>
      </patternFill>
    </fill>
    <fill>
      <patternFill patternType="solid">
        <fgColor rgb="FF2E75B6"/>
        <bgColor rgb="FF2E75B6"/>
      </patternFill>
    </fill>
    <fill>
      <patternFill patternType="solid">
        <fgColor rgb="FFF2F2F2"/>
        <bgColor rgb="FFF2F2F2"/>
      </patternFill>
    </fill>
    <fill>
      <patternFill patternType="solid">
        <fgColor rgb="FF305496"/>
        <bgColor rgb="FF305496"/>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shrinkToFit="0" vertical="top" wrapText="1"/>
    </xf>
    <xf borderId="1" fillId="3" fontId="3" numFmtId="0" xfId="0" applyAlignment="1" applyBorder="1" applyFont="1">
      <alignment vertical="top"/>
    </xf>
    <xf borderId="1" fillId="5" fontId="3" numFmtId="0" xfId="0" applyAlignment="1" applyBorder="1" applyFill="1" applyFont="1">
      <alignment vertical="top"/>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1" fillId="0" fontId="2" numFmtId="0" xfId="0" applyAlignment="1" applyBorder="1" applyFont="1">
      <alignment readingOrder="0" shrinkToFit="0" vertical="top" wrapText="1"/>
    </xf>
    <xf borderId="1" fillId="8" fontId="2" numFmtId="0" xfId="0" applyAlignment="1" applyBorder="1" applyFill="1" applyFont="1">
      <alignment vertical="top"/>
    </xf>
    <xf borderId="2" fillId="2" fontId="4" numFmtId="0" xfId="0" applyAlignment="1" applyBorder="1" applyFont="1">
      <alignment horizontal="center"/>
    </xf>
    <xf borderId="3" fillId="0" fontId="5" numFmtId="0" xfId="0" applyBorder="1" applyFont="1"/>
    <xf borderId="4" fillId="0" fontId="5" numFmtId="0" xfId="0" applyBorder="1" applyFont="1"/>
    <xf borderId="1" fillId="9" fontId="1" numFmtId="0" xfId="0" applyAlignment="1" applyBorder="1" applyFill="1" applyFont="1">
      <alignment horizontal="center" shrinkToFit="0" vertical="center" wrapText="1"/>
    </xf>
    <xf borderId="0" fillId="0" fontId="6" numFmtId="0" xfId="0" applyFont="1"/>
    <xf borderId="2" fillId="10" fontId="7" numFmtId="0" xfId="0" applyAlignment="1" applyBorder="1" applyFill="1" applyFont="1">
      <alignment shrinkToFit="0" vertical="top" wrapText="1"/>
    </xf>
    <xf borderId="5" fillId="11" fontId="8" numFmtId="0" xfId="0" applyAlignment="1" applyBorder="1" applyFill="1" applyFont="1">
      <alignment shrinkToFit="0" vertical="center" wrapText="1"/>
    </xf>
    <xf borderId="0" fillId="0" fontId="7"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0.0"/>
    <col customWidth="1" min="3" max="3" width="46.0"/>
    <col customWidth="1" min="4" max="5" width="11.0"/>
    <col customWidth="1" min="6" max="7" width="18.0"/>
    <col customWidth="1" min="8" max="8" width="11.0"/>
    <col customWidth="1" min="9" max="9" width="16.0"/>
    <col customWidth="1" min="10" max="10" width="13.0"/>
    <col customWidth="1" min="11" max="11" width="46.0"/>
    <col customWidth="1" min="12" max="12" width="58.0"/>
    <col customWidth="1" min="13" max="13" width="50.0"/>
    <col customWidth="1" min="14" max="14" width="42.0"/>
    <col customWidth="1" min="15" max="15" width="55.0"/>
    <col customWidth="1" min="16" max="16" width="42.0"/>
    <col customWidth="1" min="17" max="26"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5" t="s">
        <v>19</v>
      </c>
      <c r="E2" s="5" t="s">
        <v>20</v>
      </c>
      <c r="F2" s="4" t="s">
        <v>21</v>
      </c>
      <c r="G2" s="4" t="s">
        <v>22</v>
      </c>
      <c r="H2" s="2" t="s">
        <v>23</v>
      </c>
      <c r="I2" s="4" t="s">
        <v>24</v>
      </c>
      <c r="J2" s="6">
        <v>4.0</v>
      </c>
      <c r="K2" s="7" t="s">
        <v>25</v>
      </c>
      <c r="L2" s="8"/>
      <c r="M2" s="8"/>
      <c r="N2" s="8" t="s">
        <v>26</v>
      </c>
      <c r="O2" s="4" t="s">
        <v>27</v>
      </c>
      <c r="P2" s="2" t="s">
        <v>28</v>
      </c>
    </row>
    <row r="3">
      <c r="A3" s="9" t="s">
        <v>29</v>
      </c>
      <c r="B3" s="3" t="s">
        <v>17</v>
      </c>
      <c r="C3" s="10" t="s">
        <v>30</v>
      </c>
      <c r="D3" s="11" t="s">
        <v>31</v>
      </c>
      <c r="E3" s="11" t="s">
        <v>32</v>
      </c>
      <c r="F3" s="10" t="s">
        <v>33</v>
      </c>
      <c r="G3" s="10" t="s">
        <v>34</v>
      </c>
      <c r="H3" s="9" t="s">
        <v>35</v>
      </c>
      <c r="I3" s="10" t="s">
        <v>36</v>
      </c>
      <c r="J3" s="6">
        <v>3.0</v>
      </c>
      <c r="K3" s="7" t="s">
        <v>37</v>
      </c>
      <c r="L3" s="8"/>
      <c r="M3" s="8"/>
      <c r="N3" s="8" t="s">
        <v>26</v>
      </c>
      <c r="O3" s="10" t="s">
        <v>38</v>
      </c>
      <c r="P3" s="9" t="s">
        <v>28</v>
      </c>
    </row>
    <row r="4">
      <c r="A4" s="9" t="s">
        <v>39</v>
      </c>
      <c r="B4" s="3" t="s">
        <v>17</v>
      </c>
      <c r="C4" s="10" t="s">
        <v>40</v>
      </c>
      <c r="D4" s="11" t="s">
        <v>41</v>
      </c>
      <c r="E4" s="11" t="s">
        <v>41</v>
      </c>
      <c r="F4" s="10" t="s">
        <v>42</v>
      </c>
      <c r="G4" s="10" t="s">
        <v>43</v>
      </c>
      <c r="H4" s="9" t="s">
        <v>44</v>
      </c>
      <c r="I4" s="12">
        <v>7.5</v>
      </c>
      <c r="J4" s="6">
        <v>7.0</v>
      </c>
      <c r="K4" s="7" t="s">
        <v>45</v>
      </c>
      <c r="L4" s="8" t="s">
        <v>46</v>
      </c>
      <c r="M4" s="8" t="s">
        <v>47</v>
      </c>
      <c r="N4" s="8" t="s">
        <v>26</v>
      </c>
      <c r="O4" s="10" t="s">
        <v>48</v>
      </c>
      <c r="P4" s="9" t="s">
        <v>28</v>
      </c>
    </row>
    <row r="5">
      <c r="A5" s="2" t="s">
        <v>49</v>
      </c>
      <c r="B5" s="3" t="s">
        <v>17</v>
      </c>
      <c r="C5" s="4" t="s">
        <v>50</v>
      </c>
      <c r="D5" s="5" t="s">
        <v>51</v>
      </c>
      <c r="E5" s="5" t="s">
        <v>52</v>
      </c>
      <c r="F5" s="4" t="s">
        <v>53</v>
      </c>
      <c r="G5" s="4" t="s">
        <v>43</v>
      </c>
      <c r="H5" s="2" t="s">
        <v>23</v>
      </c>
      <c r="I5" s="4" t="s">
        <v>24</v>
      </c>
      <c r="J5" s="6">
        <v>4.0</v>
      </c>
      <c r="K5" s="7" t="s">
        <v>54</v>
      </c>
      <c r="L5" s="8" t="s">
        <v>55</v>
      </c>
      <c r="M5" s="8" t="s">
        <v>55</v>
      </c>
      <c r="N5" s="8" t="s">
        <v>26</v>
      </c>
      <c r="O5" s="4" t="s">
        <v>56</v>
      </c>
      <c r="P5" s="2" t="s">
        <v>28</v>
      </c>
    </row>
    <row r="6">
      <c r="A6" s="2" t="s">
        <v>57</v>
      </c>
      <c r="B6" s="3" t="s">
        <v>17</v>
      </c>
      <c r="C6" s="4" t="s">
        <v>58</v>
      </c>
      <c r="D6" s="5" t="s">
        <v>59</v>
      </c>
      <c r="E6" s="5" t="s">
        <v>60</v>
      </c>
      <c r="F6" s="4" t="s">
        <v>61</v>
      </c>
      <c r="G6" s="4" t="s">
        <v>62</v>
      </c>
      <c r="H6" s="2" t="s">
        <v>63</v>
      </c>
      <c r="I6" s="4" t="s">
        <v>36</v>
      </c>
      <c r="J6" s="6">
        <v>4.0</v>
      </c>
      <c r="K6" s="7" t="s">
        <v>64</v>
      </c>
      <c r="L6" s="8" t="s">
        <v>65</v>
      </c>
      <c r="M6" s="8" t="s">
        <v>66</v>
      </c>
      <c r="N6" s="8" t="s">
        <v>26</v>
      </c>
      <c r="O6" s="4" t="s">
        <v>67</v>
      </c>
      <c r="P6" s="2" t="s">
        <v>28</v>
      </c>
    </row>
    <row r="7">
      <c r="A7" s="9" t="s">
        <v>68</v>
      </c>
      <c r="B7" s="3" t="s">
        <v>17</v>
      </c>
      <c r="C7" s="10" t="s">
        <v>69</v>
      </c>
      <c r="D7" s="11" t="s">
        <v>70</v>
      </c>
      <c r="E7" s="11" t="s">
        <v>71</v>
      </c>
      <c r="F7" s="10" t="s">
        <v>72</v>
      </c>
      <c r="G7" s="10" t="s">
        <v>22</v>
      </c>
      <c r="H7" s="9" t="s">
        <v>73</v>
      </c>
      <c r="I7" s="10" t="s">
        <v>74</v>
      </c>
      <c r="J7" s="6">
        <v>4.0</v>
      </c>
      <c r="K7" s="7" t="s">
        <v>75</v>
      </c>
      <c r="L7" s="8" t="s">
        <v>76</v>
      </c>
      <c r="M7" s="8" t="s">
        <v>77</v>
      </c>
      <c r="N7" s="8" t="s">
        <v>26</v>
      </c>
      <c r="O7" s="10" t="s">
        <v>78</v>
      </c>
      <c r="P7" s="9" t="s">
        <v>28</v>
      </c>
    </row>
    <row r="8">
      <c r="A8" s="2" t="s">
        <v>79</v>
      </c>
      <c r="B8" s="3" t="s">
        <v>17</v>
      </c>
      <c r="C8" s="4" t="s">
        <v>80</v>
      </c>
      <c r="D8" s="5" t="s">
        <v>31</v>
      </c>
      <c r="E8" s="5" t="s">
        <v>32</v>
      </c>
      <c r="F8" s="4" t="s">
        <v>81</v>
      </c>
      <c r="G8" s="4" t="s">
        <v>82</v>
      </c>
      <c r="H8" s="2" t="s">
        <v>35</v>
      </c>
      <c r="I8" s="4" t="s">
        <v>36</v>
      </c>
      <c r="J8" s="6">
        <v>5.0</v>
      </c>
      <c r="K8" s="7" t="s">
        <v>83</v>
      </c>
      <c r="L8" s="8" t="s">
        <v>84</v>
      </c>
      <c r="M8" s="8" t="s">
        <v>85</v>
      </c>
      <c r="N8" s="8" t="s">
        <v>26</v>
      </c>
      <c r="O8" s="4" t="s">
        <v>86</v>
      </c>
      <c r="P8" s="2" t="s">
        <v>28</v>
      </c>
    </row>
    <row r="9">
      <c r="A9" s="9" t="s">
        <v>87</v>
      </c>
      <c r="B9" s="3" t="s">
        <v>17</v>
      </c>
      <c r="C9" s="10" t="s">
        <v>88</v>
      </c>
      <c r="D9" s="11" t="s">
        <v>89</v>
      </c>
      <c r="E9" s="11" t="s">
        <v>90</v>
      </c>
      <c r="F9" s="10" t="s">
        <v>91</v>
      </c>
      <c r="G9" s="10" t="s">
        <v>91</v>
      </c>
      <c r="H9" s="9" t="s">
        <v>35</v>
      </c>
      <c r="I9" s="10" t="s">
        <v>92</v>
      </c>
      <c r="J9" s="6">
        <v>3.0</v>
      </c>
      <c r="K9" s="7" t="s">
        <v>93</v>
      </c>
      <c r="L9" s="8" t="s">
        <v>94</v>
      </c>
      <c r="M9" s="8" t="s">
        <v>95</v>
      </c>
      <c r="N9" s="8" t="s">
        <v>26</v>
      </c>
      <c r="O9" s="10" t="s">
        <v>96</v>
      </c>
      <c r="P9" s="9" t="s">
        <v>28</v>
      </c>
    </row>
    <row r="10">
      <c r="A10" s="2" t="s">
        <v>97</v>
      </c>
      <c r="B10" s="3" t="s">
        <v>17</v>
      </c>
      <c r="C10" s="4" t="s">
        <v>98</v>
      </c>
      <c r="D10" s="5" t="s">
        <v>99</v>
      </c>
      <c r="E10" s="5" t="s">
        <v>100</v>
      </c>
      <c r="F10" s="4" t="s">
        <v>101</v>
      </c>
      <c r="G10" s="4" t="s">
        <v>82</v>
      </c>
      <c r="H10" s="2" t="s">
        <v>35</v>
      </c>
      <c r="I10" s="4" t="s">
        <v>24</v>
      </c>
      <c r="J10" s="6">
        <v>5.0</v>
      </c>
      <c r="K10" s="7" t="s">
        <v>102</v>
      </c>
      <c r="L10" s="8"/>
      <c r="M10" s="8"/>
      <c r="N10" s="8" t="s">
        <v>26</v>
      </c>
      <c r="O10" s="4" t="s">
        <v>103</v>
      </c>
      <c r="P10" s="2" t="s">
        <v>28</v>
      </c>
    </row>
    <row r="11">
      <c r="A11" s="9" t="s">
        <v>104</v>
      </c>
      <c r="B11" s="3" t="s">
        <v>17</v>
      </c>
      <c r="C11" s="10" t="s">
        <v>105</v>
      </c>
      <c r="D11" s="11" t="s">
        <v>106</v>
      </c>
      <c r="E11" s="11" t="s">
        <v>107</v>
      </c>
      <c r="F11" s="10" t="s">
        <v>21</v>
      </c>
      <c r="G11" s="10" t="s">
        <v>22</v>
      </c>
      <c r="H11" s="9" t="s">
        <v>35</v>
      </c>
      <c r="I11" s="10" t="s">
        <v>108</v>
      </c>
      <c r="J11" s="6">
        <v>3.0</v>
      </c>
      <c r="K11" s="7" t="s">
        <v>109</v>
      </c>
      <c r="L11" s="8"/>
      <c r="M11" s="8"/>
      <c r="N11" s="8" t="s">
        <v>26</v>
      </c>
      <c r="O11" s="10" t="s">
        <v>110</v>
      </c>
      <c r="P11" s="9" t="s">
        <v>28</v>
      </c>
    </row>
    <row r="12">
      <c r="A12" s="9" t="s">
        <v>111</v>
      </c>
      <c r="B12" s="3" t="s">
        <v>17</v>
      </c>
      <c r="C12" s="10" t="s">
        <v>112</v>
      </c>
      <c r="D12" s="11" t="s">
        <v>31</v>
      </c>
      <c r="E12" s="11" t="s">
        <v>32</v>
      </c>
      <c r="F12" s="10" t="s">
        <v>113</v>
      </c>
      <c r="G12" s="10" t="s">
        <v>34</v>
      </c>
      <c r="H12" s="9" t="s">
        <v>35</v>
      </c>
      <c r="I12" s="10" t="s">
        <v>114</v>
      </c>
      <c r="J12" s="6">
        <v>3.0</v>
      </c>
      <c r="K12" s="7" t="s">
        <v>115</v>
      </c>
      <c r="L12" s="8"/>
      <c r="M12" s="8"/>
      <c r="N12" s="8" t="s">
        <v>26</v>
      </c>
      <c r="O12" s="10" t="s">
        <v>116</v>
      </c>
      <c r="P12" s="9" t="s">
        <v>28</v>
      </c>
    </row>
    <row r="13">
      <c r="A13" s="2" t="s">
        <v>117</v>
      </c>
      <c r="B13" s="3" t="s">
        <v>17</v>
      </c>
      <c r="C13" s="4" t="s">
        <v>118</v>
      </c>
      <c r="D13" s="5" t="s">
        <v>31</v>
      </c>
      <c r="E13" s="5" t="s">
        <v>32</v>
      </c>
      <c r="F13" s="4" t="s">
        <v>81</v>
      </c>
      <c r="G13" s="4" t="s">
        <v>82</v>
      </c>
      <c r="H13" s="2" t="s">
        <v>35</v>
      </c>
      <c r="I13" s="4" t="s">
        <v>36</v>
      </c>
      <c r="J13" s="6">
        <v>8.0</v>
      </c>
      <c r="K13" s="7" t="s">
        <v>119</v>
      </c>
      <c r="L13" s="8" t="s">
        <v>120</v>
      </c>
      <c r="M13" s="8" t="s">
        <v>121</v>
      </c>
      <c r="N13" s="8" t="s">
        <v>26</v>
      </c>
      <c r="O13" s="4" t="s">
        <v>122</v>
      </c>
      <c r="P13" s="2" t="s">
        <v>28</v>
      </c>
    </row>
    <row r="14">
      <c r="A14" s="2" t="s">
        <v>123</v>
      </c>
      <c r="B14" s="3" t="s">
        <v>17</v>
      </c>
      <c r="C14" s="4" t="s">
        <v>124</v>
      </c>
      <c r="D14" s="5" t="s">
        <v>125</v>
      </c>
      <c r="E14" s="5" t="s">
        <v>126</v>
      </c>
      <c r="F14" s="4" t="s">
        <v>53</v>
      </c>
      <c r="G14" s="4" t="s">
        <v>127</v>
      </c>
      <c r="H14" s="2" t="s">
        <v>23</v>
      </c>
      <c r="I14" s="4" t="s">
        <v>74</v>
      </c>
      <c r="J14" s="6">
        <v>3.0</v>
      </c>
      <c r="K14" s="7" t="s">
        <v>128</v>
      </c>
      <c r="L14" s="8" t="s">
        <v>129</v>
      </c>
      <c r="M14" s="8" t="s">
        <v>130</v>
      </c>
      <c r="N14" s="8" t="s">
        <v>26</v>
      </c>
      <c r="O14" s="4" t="s">
        <v>131</v>
      </c>
      <c r="P14" s="2" t="s">
        <v>28</v>
      </c>
    </row>
    <row r="15">
      <c r="A15" s="9" t="s">
        <v>132</v>
      </c>
      <c r="B15" s="3" t="s">
        <v>17</v>
      </c>
      <c r="C15" s="10" t="s">
        <v>124</v>
      </c>
      <c r="D15" s="11" t="s">
        <v>133</v>
      </c>
      <c r="E15" s="11" t="s">
        <v>134</v>
      </c>
      <c r="F15" s="10" t="s">
        <v>135</v>
      </c>
      <c r="G15" s="10" t="s">
        <v>136</v>
      </c>
      <c r="H15" s="9" t="s">
        <v>23</v>
      </c>
      <c r="I15" s="10" t="s">
        <v>137</v>
      </c>
      <c r="J15" s="6">
        <v>3.0</v>
      </c>
      <c r="K15" s="7" t="s">
        <v>138</v>
      </c>
      <c r="L15" s="8" t="s">
        <v>139</v>
      </c>
      <c r="M15" s="8" t="s">
        <v>140</v>
      </c>
      <c r="N15" s="8" t="s">
        <v>26</v>
      </c>
      <c r="O15" s="10" t="s">
        <v>141</v>
      </c>
      <c r="P15" s="9" t="s">
        <v>28</v>
      </c>
    </row>
    <row r="16">
      <c r="A16" s="2" t="s">
        <v>142</v>
      </c>
      <c r="B16" s="3" t="s">
        <v>17</v>
      </c>
      <c r="C16" s="4" t="s">
        <v>143</v>
      </c>
      <c r="D16" s="5" t="s">
        <v>31</v>
      </c>
      <c r="E16" s="5" t="s">
        <v>32</v>
      </c>
      <c r="F16" s="4" t="s">
        <v>33</v>
      </c>
      <c r="G16" s="4" t="s">
        <v>34</v>
      </c>
      <c r="H16" s="2" t="s">
        <v>35</v>
      </c>
      <c r="I16" s="4" t="s">
        <v>144</v>
      </c>
      <c r="J16" s="6">
        <v>3.0</v>
      </c>
      <c r="K16" s="7" t="s">
        <v>145</v>
      </c>
      <c r="L16" s="8"/>
      <c r="M16" s="8"/>
      <c r="N16" s="8" t="s">
        <v>26</v>
      </c>
      <c r="O16" s="4" t="s">
        <v>146</v>
      </c>
      <c r="P16" s="2" t="s">
        <v>28</v>
      </c>
    </row>
    <row r="17">
      <c r="A17" s="9" t="s">
        <v>147</v>
      </c>
      <c r="B17" s="3" t="s">
        <v>17</v>
      </c>
      <c r="C17" s="10" t="s">
        <v>148</v>
      </c>
      <c r="D17" s="11" t="s">
        <v>149</v>
      </c>
      <c r="E17" s="11" t="s">
        <v>150</v>
      </c>
      <c r="F17" s="10" t="s">
        <v>21</v>
      </c>
      <c r="G17" s="10" t="s">
        <v>34</v>
      </c>
      <c r="H17" s="9" t="s">
        <v>35</v>
      </c>
      <c r="I17" s="10" t="s">
        <v>74</v>
      </c>
      <c r="J17" s="6">
        <v>4.0</v>
      </c>
      <c r="K17" s="7" t="s">
        <v>151</v>
      </c>
      <c r="L17" s="8" t="s">
        <v>152</v>
      </c>
      <c r="M17" s="8" t="s">
        <v>153</v>
      </c>
      <c r="N17" s="8" t="s">
        <v>26</v>
      </c>
      <c r="O17" s="10" t="s">
        <v>154</v>
      </c>
      <c r="P17" s="9" t="s">
        <v>28</v>
      </c>
    </row>
    <row r="18">
      <c r="A18" s="2" t="s">
        <v>155</v>
      </c>
      <c r="B18" s="3" t="s">
        <v>17</v>
      </c>
      <c r="C18" s="4" t="s">
        <v>156</v>
      </c>
      <c r="D18" s="5" t="s">
        <v>157</v>
      </c>
      <c r="E18" s="5" t="s">
        <v>158</v>
      </c>
      <c r="F18" s="4" t="s">
        <v>21</v>
      </c>
      <c r="G18" s="4" t="s">
        <v>34</v>
      </c>
      <c r="H18" s="2" t="s">
        <v>35</v>
      </c>
      <c r="I18" s="4" t="s">
        <v>36</v>
      </c>
      <c r="J18" s="6">
        <v>3.0</v>
      </c>
      <c r="K18" s="7" t="s">
        <v>159</v>
      </c>
      <c r="L18" s="8" t="s">
        <v>160</v>
      </c>
      <c r="M18" s="8" t="s">
        <v>161</v>
      </c>
      <c r="N18" s="8" t="s">
        <v>26</v>
      </c>
      <c r="O18" s="4" t="s">
        <v>162</v>
      </c>
      <c r="P18" s="2" t="s">
        <v>28</v>
      </c>
    </row>
    <row r="19">
      <c r="A19" s="9" t="s">
        <v>163</v>
      </c>
      <c r="B19" s="13" t="s">
        <v>73</v>
      </c>
      <c r="C19" s="10" t="s">
        <v>164</v>
      </c>
      <c r="D19" s="11"/>
      <c r="E19" s="11"/>
      <c r="F19" s="10" t="s">
        <v>165</v>
      </c>
      <c r="G19" s="10" t="s">
        <v>165</v>
      </c>
      <c r="H19" s="9" t="s">
        <v>165</v>
      </c>
      <c r="I19" s="10" t="s">
        <v>165</v>
      </c>
      <c r="J19" s="6">
        <v>6.0</v>
      </c>
      <c r="K19" s="7" t="s">
        <v>166</v>
      </c>
      <c r="L19" s="8" t="s">
        <v>167</v>
      </c>
      <c r="M19" s="8" t="s">
        <v>167</v>
      </c>
      <c r="N19" s="8" t="s">
        <v>26</v>
      </c>
      <c r="O19" s="10" t="s">
        <v>168</v>
      </c>
      <c r="P19" s="9" t="s">
        <v>28</v>
      </c>
    </row>
    <row r="20">
      <c r="A20" s="9" t="s">
        <v>169</v>
      </c>
      <c r="B20" s="3" t="s">
        <v>17</v>
      </c>
      <c r="C20" s="10" t="s">
        <v>170</v>
      </c>
      <c r="D20" s="11" t="s">
        <v>171</v>
      </c>
      <c r="E20" s="11" t="s">
        <v>172</v>
      </c>
      <c r="F20" s="10" t="s">
        <v>33</v>
      </c>
      <c r="G20" s="10" t="s">
        <v>22</v>
      </c>
      <c r="H20" s="9" t="s">
        <v>23</v>
      </c>
      <c r="I20" s="10" t="s">
        <v>173</v>
      </c>
      <c r="J20" s="6">
        <v>4.0</v>
      </c>
      <c r="K20" s="7" t="s">
        <v>174</v>
      </c>
      <c r="L20" s="8" t="s">
        <v>175</v>
      </c>
      <c r="M20" s="8" t="s">
        <v>176</v>
      </c>
      <c r="N20" s="8" t="s">
        <v>26</v>
      </c>
      <c r="O20" s="10" t="s">
        <v>177</v>
      </c>
      <c r="P20" s="9" t="s">
        <v>28</v>
      </c>
    </row>
    <row r="21" ht="15.75" customHeight="1">
      <c r="A21" s="2" t="s">
        <v>178</v>
      </c>
      <c r="B21" s="3" t="s">
        <v>17</v>
      </c>
      <c r="C21" s="4" t="s">
        <v>179</v>
      </c>
      <c r="D21" s="5" t="s">
        <v>180</v>
      </c>
      <c r="E21" s="5" t="s">
        <v>181</v>
      </c>
      <c r="F21" s="4" t="s">
        <v>33</v>
      </c>
      <c r="G21" s="4" t="s">
        <v>22</v>
      </c>
      <c r="H21" s="2" t="s">
        <v>35</v>
      </c>
      <c r="I21" s="4" t="s">
        <v>36</v>
      </c>
      <c r="J21" s="6">
        <v>5.0</v>
      </c>
      <c r="K21" s="7" t="s">
        <v>182</v>
      </c>
      <c r="L21" s="8" t="s">
        <v>183</v>
      </c>
      <c r="M21" s="8" t="s">
        <v>184</v>
      </c>
      <c r="N21" s="8" t="s">
        <v>26</v>
      </c>
      <c r="O21" s="4" t="s">
        <v>185</v>
      </c>
      <c r="P21" s="2" t="s">
        <v>28</v>
      </c>
    </row>
    <row r="22" ht="15.75" customHeight="1">
      <c r="A22" s="2" t="s">
        <v>186</v>
      </c>
      <c r="B22" s="3" t="s">
        <v>17</v>
      </c>
      <c r="C22" s="4" t="s">
        <v>187</v>
      </c>
      <c r="D22" s="5"/>
      <c r="E22" s="5"/>
      <c r="F22" s="4" t="s">
        <v>188</v>
      </c>
      <c r="G22" s="4" t="s">
        <v>189</v>
      </c>
      <c r="H22" s="2" t="s">
        <v>190</v>
      </c>
      <c r="I22" s="4" t="s">
        <v>36</v>
      </c>
      <c r="J22" s="6">
        <v>4.0</v>
      </c>
      <c r="K22" s="7" t="s">
        <v>191</v>
      </c>
      <c r="L22" s="8" t="s">
        <v>192</v>
      </c>
      <c r="M22" s="8" t="s">
        <v>192</v>
      </c>
      <c r="N22" s="8" t="s">
        <v>26</v>
      </c>
      <c r="O22" s="4" t="s">
        <v>193</v>
      </c>
      <c r="P22" s="2" t="s">
        <v>28</v>
      </c>
    </row>
    <row r="23" ht="15.75" customHeight="1">
      <c r="A23" s="2" t="s">
        <v>194</v>
      </c>
      <c r="B23" s="3" t="s">
        <v>17</v>
      </c>
      <c r="C23" s="4" t="s">
        <v>195</v>
      </c>
      <c r="D23" s="5" t="s">
        <v>196</v>
      </c>
      <c r="E23" s="5" t="s">
        <v>197</v>
      </c>
      <c r="F23" s="4" t="s">
        <v>198</v>
      </c>
      <c r="G23" s="4" t="s">
        <v>62</v>
      </c>
      <c r="H23" s="2" t="s">
        <v>23</v>
      </c>
      <c r="I23" s="4" t="s">
        <v>199</v>
      </c>
      <c r="J23" s="6">
        <v>5.0</v>
      </c>
      <c r="K23" s="7" t="s">
        <v>200</v>
      </c>
      <c r="L23" s="8" t="s">
        <v>201</v>
      </c>
      <c r="M23" s="8" t="s">
        <v>202</v>
      </c>
      <c r="N23" s="8" t="s">
        <v>26</v>
      </c>
      <c r="O23" s="4" t="s">
        <v>203</v>
      </c>
      <c r="P23" s="2" t="s">
        <v>28</v>
      </c>
    </row>
    <row r="24" ht="15.75" customHeight="1">
      <c r="A24" s="9" t="s">
        <v>204</v>
      </c>
      <c r="B24" s="3" t="s">
        <v>17</v>
      </c>
      <c r="C24" s="10" t="s">
        <v>205</v>
      </c>
      <c r="D24" s="11" t="s">
        <v>206</v>
      </c>
      <c r="E24" s="11" t="s">
        <v>207</v>
      </c>
      <c r="F24" s="10" t="s">
        <v>135</v>
      </c>
      <c r="G24" s="10" t="s">
        <v>22</v>
      </c>
      <c r="H24" s="9" t="s">
        <v>23</v>
      </c>
      <c r="I24" s="10" t="s">
        <v>108</v>
      </c>
      <c r="J24" s="6">
        <v>6.0</v>
      </c>
      <c r="K24" s="7" t="s">
        <v>208</v>
      </c>
      <c r="L24" s="8" t="s">
        <v>209</v>
      </c>
      <c r="M24" s="8" t="s">
        <v>210</v>
      </c>
      <c r="N24" s="8" t="s">
        <v>26</v>
      </c>
      <c r="O24" s="10" t="s">
        <v>211</v>
      </c>
      <c r="P24" s="9" t="s">
        <v>28</v>
      </c>
    </row>
    <row r="25" ht="15.75" customHeight="1">
      <c r="A25" s="2" t="s">
        <v>212</v>
      </c>
      <c r="B25" s="3" t="s">
        <v>17</v>
      </c>
      <c r="C25" s="4" t="s">
        <v>213</v>
      </c>
      <c r="D25" s="5" t="s">
        <v>214</v>
      </c>
      <c r="E25" s="5" t="s">
        <v>215</v>
      </c>
      <c r="F25" s="4" t="s">
        <v>21</v>
      </c>
      <c r="G25" s="4" t="s">
        <v>136</v>
      </c>
      <c r="H25" s="2" t="s">
        <v>35</v>
      </c>
      <c r="I25" s="4" t="s">
        <v>92</v>
      </c>
      <c r="J25" s="6">
        <v>3.0</v>
      </c>
      <c r="K25" s="7" t="s">
        <v>216</v>
      </c>
      <c r="L25" s="8" t="s">
        <v>217</v>
      </c>
      <c r="M25" s="8" t="s">
        <v>218</v>
      </c>
      <c r="N25" s="8" t="s">
        <v>26</v>
      </c>
      <c r="O25" s="4" t="s">
        <v>219</v>
      </c>
      <c r="P25" s="2" t="s">
        <v>28</v>
      </c>
    </row>
    <row r="26" ht="15.75" customHeight="1">
      <c r="A26" s="9" t="s">
        <v>220</v>
      </c>
      <c r="B26" s="3" t="s">
        <v>17</v>
      </c>
      <c r="C26" s="10" t="s">
        <v>221</v>
      </c>
      <c r="D26" s="11" t="s">
        <v>31</v>
      </c>
      <c r="E26" s="11" t="s">
        <v>32</v>
      </c>
      <c r="F26" s="10" t="s">
        <v>33</v>
      </c>
      <c r="G26" s="10" t="s">
        <v>34</v>
      </c>
      <c r="H26" s="9" t="s">
        <v>35</v>
      </c>
      <c r="I26" s="10" t="s">
        <v>144</v>
      </c>
      <c r="J26" s="6">
        <v>3.0</v>
      </c>
      <c r="K26" s="7" t="s">
        <v>222</v>
      </c>
      <c r="L26" s="8"/>
      <c r="M26" s="8"/>
      <c r="N26" s="8" t="s">
        <v>26</v>
      </c>
      <c r="O26" s="10" t="s">
        <v>223</v>
      </c>
      <c r="P26" s="9" t="s">
        <v>28</v>
      </c>
    </row>
    <row r="27" ht="15.75" customHeight="1">
      <c r="A27" s="2" t="s">
        <v>224</v>
      </c>
      <c r="B27" s="3" t="s">
        <v>17</v>
      </c>
      <c r="C27" s="4" t="s">
        <v>225</v>
      </c>
      <c r="D27" s="5" t="s">
        <v>226</v>
      </c>
      <c r="E27" s="5" t="s">
        <v>227</v>
      </c>
      <c r="F27" s="4" t="s">
        <v>21</v>
      </c>
      <c r="G27" s="4" t="s">
        <v>22</v>
      </c>
      <c r="H27" s="2" t="s">
        <v>23</v>
      </c>
      <c r="I27" s="4" t="s">
        <v>144</v>
      </c>
      <c r="J27" s="6">
        <v>2.0</v>
      </c>
      <c r="K27" s="7" t="s">
        <v>228</v>
      </c>
      <c r="L27" s="8"/>
      <c r="M27" s="8"/>
      <c r="N27" s="8" t="s">
        <v>26</v>
      </c>
      <c r="O27" s="4" t="s">
        <v>229</v>
      </c>
      <c r="P27" s="2" t="s">
        <v>28</v>
      </c>
    </row>
    <row r="28" ht="15.75" customHeight="1">
      <c r="A28" s="9" t="s">
        <v>230</v>
      </c>
      <c r="B28" s="3" t="s">
        <v>17</v>
      </c>
      <c r="C28" s="10" t="s">
        <v>231</v>
      </c>
      <c r="D28" s="11" t="s">
        <v>232</v>
      </c>
      <c r="E28" s="11" t="s">
        <v>233</v>
      </c>
      <c r="F28" s="10" t="s">
        <v>81</v>
      </c>
      <c r="G28" s="10" t="s">
        <v>127</v>
      </c>
      <c r="H28" s="9" t="s">
        <v>35</v>
      </c>
      <c r="I28" s="10" t="s">
        <v>74</v>
      </c>
      <c r="J28" s="6">
        <v>4.0</v>
      </c>
      <c r="K28" s="7" t="s">
        <v>234</v>
      </c>
      <c r="L28" s="8"/>
      <c r="M28" s="8"/>
      <c r="N28" s="8" t="s">
        <v>26</v>
      </c>
      <c r="O28" s="10" t="s">
        <v>235</v>
      </c>
      <c r="P28" s="9" t="s">
        <v>28</v>
      </c>
    </row>
    <row r="29" ht="15.75" customHeight="1">
      <c r="A29" s="9" t="s">
        <v>236</v>
      </c>
      <c r="B29" s="3" t="s">
        <v>17</v>
      </c>
      <c r="C29" s="10" t="s">
        <v>237</v>
      </c>
      <c r="D29" s="11"/>
      <c r="E29" s="11"/>
      <c r="F29" s="10" t="s">
        <v>33</v>
      </c>
      <c r="G29" s="10" t="s">
        <v>34</v>
      </c>
      <c r="H29" s="9" t="s">
        <v>35</v>
      </c>
      <c r="I29" s="10" t="s">
        <v>144</v>
      </c>
      <c r="J29" s="6">
        <v>5.0</v>
      </c>
      <c r="K29" s="7" t="s">
        <v>238</v>
      </c>
      <c r="L29" s="8" t="s">
        <v>239</v>
      </c>
      <c r="M29" s="8" t="s">
        <v>240</v>
      </c>
      <c r="N29" s="8" t="s">
        <v>26</v>
      </c>
      <c r="O29" s="10" t="s">
        <v>241</v>
      </c>
      <c r="P29" s="9" t="s">
        <v>28</v>
      </c>
    </row>
    <row r="30" ht="15.75" customHeight="1">
      <c r="A30" s="2" t="s">
        <v>242</v>
      </c>
      <c r="B30" s="3" t="s">
        <v>17</v>
      </c>
      <c r="C30" s="4" t="s">
        <v>243</v>
      </c>
      <c r="D30" s="5" t="s">
        <v>244</v>
      </c>
      <c r="E30" s="5" t="s">
        <v>245</v>
      </c>
      <c r="F30" s="4" t="s">
        <v>246</v>
      </c>
      <c r="G30" s="4" t="s">
        <v>82</v>
      </c>
      <c r="H30" s="2" t="s">
        <v>23</v>
      </c>
      <c r="I30" s="4" t="s">
        <v>74</v>
      </c>
      <c r="J30" s="6">
        <v>3.0</v>
      </c>
      <c r="K30" s="7" t="s">
        <v>247</v>
      </c>
      <c r="L30" s="8" t="s">
        <v>248</v>
      </c>
      <c r="M30" s="8" t="s">
        <v>249</v>
      </c>
      <c r="N30" s="8" t="s">
        <v>26</v>
      </c>
      <c r="O30" s="4" t="s">
        <v>250</v>
      </c>
      <c r="P30" s="2" t="s">
        <v>28</v>
      </c>
    </row>
    <row r="31" ht="15.75" customHeight="1">
      <c r="A31" s="9" t="s">
        <v>251</v>
      </c>
      <c r="B31" s="3" t="s">
        <v>17</v>
      </c>
      <c r="C31" s="10" t="s">
        <v>252</v>
      </c>
      <c r="D31" s="11" t="s">
        <v>253</v>
      </c>
      <c r="E31" s="11" t="s">
        <v>254</v>
      </c>
      <c r="F31" s="10" t="s">
        <v>81</v>
      </c>
      <c r="G31" s="10" t="s">
        <v>82</v>
      </c>
      <c r="H31" s="9" t="s">
        <v>35</v>
      </c>
      <c r="I31" s="10" t="s">
        <v>36</v>
      </c>
      <c r="J31" s="6">
        <v>6.0</v>
      </c>
      <c r="K31" s="7" t="s">
        <v>255</v>
      </c>
      <c r="L31" s="8" t="s">
        <v>256</v>
      </c>
      <c r="M31" s="8" t="s">
        <v>257</v>
      </c>
      <c r="N31" s="8" t="s">
        <v>26</v>
      </c>
      <c r="O31" s="10" t="s">
        <v>258</v>
      </c>
      <c r="P31" s="9" t="s">
        <v>28</v>
      </c>
    </row>
    <row r="32" ht="15.75" customHeight="1">
      <c r="A32" s="2" t="s">
        <v>259</v>
      </c>
      <c r="B32" s="3" t="s">
        <v>17</v>
      </c>
      <c r="C32" s="4" t="s">
        <v>260</v>
      </c>
      <c r="D32" s="5" t="s">
        <v>31</v>
      </c>
      <c r="E32" s="5" t="s">
        <v>32</v>
      </c>
      <c r="F32" s="4" t="s">
        <v>81</v>
      </c>
      <c r="G32" s="4" t="s">
        <v>82</v>
      </c>
      <c r="H32" s="2" t="s">
        <v>35</v>
      </c>
      <c r="I32" s="4" t="s">
        <v>36</v>
      </c>
      <c r="J32" s="6">
        <v>4.0</v>
      </c>
      <c r="K32" s="7" t="s">
        <v>261</v>
      </c>
      <c r="L32" s="8" t="s">
        <v>262</v>
      </c>
      <c r="M32" s="8" t="s">
        <v>263</v>
      </c>
      <c r="N32" s="8" t="s">
        <v>26</v>
      </c>
      <c r="O32" s="4" t="s">
        <v>264</v>
      </c>
      <c r="P32" s="2" t="s">
        <v>28</v>
      </c>
    </row>
    <row r="33" ht="15.75" customHeight="1">
      <c r="A33" s="9" t="s">
        <v>265</v>
      </c>
      <c r="B33" s="3" t="s">
        <v>17</v>
      </c>
      <c r="C33" s="10" t="s">
        <v>266</v>
      </c>
      <c r="D33" s="11" t="s">
        <v>31</v>
      </c>
      <c r="E33" s="11" t="s">
        <v>32</v>
      </c>
      <c r="F33" s="10" t="s">
        <v>81</v>
      </c>
      <c r="G33" s="10" t="s">
        <v>82</v>
      </c>
      <c r="H33" s="9" t="s">
        <v>35</v>
      </c>
      <c r="I33" s="10" t="s">
        <v>144</v>
      </c>
      <c r="J33" s="6">
        <v>5.0</v>
      </c>
      <c r="K33" s="7" t="s">
        <v>267</v>
      </c>
      <c r="L33" s="8" t="s">
        <v>268</v>
      </c>
      <c r="M33" s="8" t="s">
        <v>269</v>
      </c>
      <c r="N33" s="8" t="s">
        <v>26</v>
      </c>
      <c r="O33" s="10" t="s">
        <v>270</v>
      </c>
      <c r="P33" s="9" t="s">
        <v>28</v>
      </c>
    </row>
    <row r="34" ht="15.75" customHeight="1">
      <c r="A34" s="9" t="s">
        <v>271</v>
      </c>
      <c r="B34" s="3" t="s">
        <v>17</v>
      </c>
      <c r="C34" s="10" t="s">
        <v>272</v>
      </c>
      <c r="D34" s="11"/>
      <c r="E34" s="11"/>
      <c r="F34" s="10" t="s">
        <v>33</v>
      </c>
      <c r="G34" s="10" t="s">
        <v>34</v>
      </c>
      <c r="H34" s="9" t="s">
        <v>35</v>
      </c>
      <c r="I34" s="10" t="s">
        <v>273</v>
      </c>
      <c r="J34" s="6">
        <v>7.0</v>
      </c>
      <c r="K34" s="7" t="s">
        <v>274</v>
      </c>
      <c r="L34" s="8" t="s">
        <v>275</v>
      </c>
      <c r="M34" s="8" t="s">
        <v>276</v>
      </c>
      <c r="N34" s="8" t="s">
        <v>26</v>
      </c>
      <c r="O34" s="10" t="s">
        <v>277</v>
      </c>
      <c r="P34" s="9" t="s">
        <v>28</v>
      </c>
    </row>
    <row r="35" ht="15.75" customHeight="1">
      <c r="A35" s="9" t="s">
        <v>278</v>
      </c>
      <c r="B35" s="3" t="s">
        <v>17</v>
      </c>
      <c r="C35" s="10" t="s">
        <v>279</v>
      </c>
      <c r="D35" s="11" t="s">
        <v>31</v>
      </c>
      <c r="E35" s="11" t="s">
        <v>32</v>
      </c>
      <c r="F35" s="10" t="s">
        <v>33</v>
      </c>
      <c r="G35" s="10" t="s">
        <v>34</v>
      </c>
      <c r="H35" s="9" t="s">
        <v>35</v>
      </c>
      <c r="I35" s="10" t="s">
        <v>280</v>
      </c>
      <c r="J35" s="6">
        <v>4.0</v>
      </c>
      <c r="K35" s="7" t="s">
        <v>281</v>
      </c>
      <c r="L35" s="8" t="s">
        <v>282</v>
      </c>
      <c r="M35" s="8" t="s">
        <v>283</v>
      </c>
      <c r="N35" s="8" t="s">
        <v>26</v>
      </c>
      <c r="O35" s="10" t="s">
        <v>284</v>
      </c>
      <c r="P35" s="9" t="s">
        <v>28</v>
      </c>
    </row>
    <row r="36" ht="15.75" customHeight="1">
      <c r="A36" s="9" t="s">
        <v>285</v>
      </c>
      <c r="B36" s="3" t="s">
        <v>17</v>
      </c>
      <c r="C36" s="10" t="s">
        <v>286</v>
      </c>
      <c r="D36" s="11" t="s">
        <v>287</v>
      </c>
      <c r="E36" s="11" t="s">
        <v>288</v>
      </c>
      <c r="F36" s="10" t="s">
        <v>33</v>
      </c>
      <c r="G36" s="10" t="s">
        <v>34</v>
      </c>
      <c r="H36" s="9" t="s">
        <v>35</v>
      </c>
      <c r="I36" s="10" t="s">
        <v>36</v>
      </c>
      <c r="J36" s="6">
        <v>4.0</v>
      </c>
      <c r="K36" s="7" t="s">
        <v>289</v>
      </c>
      <c r="L36" s="8" t="s">
        <v>290</v>
      </c>
      <c r="M36" s="8" t="s">
        <v>291</v>
      </c>
      <c r="N36" s="8" t="s">
        <v>26</v>
      </c>
      <c r="O36" s="10" t="s">
        <v>292</v>
      </c>
      <c r="P36" s="9" t="s">
        <v>28</v>
      </c>
    </row>
    <row r="37" ht="15.75" customHeight="1">
      <c r="A37" s="2" t="s">
        <v>293</v>
      </c>
      <c r="B37" s="3" t="s">
        <v>17</v>
      </c>
      <c r="C37" s="4" t="s">
        <v>294</v>
      </c>
      <c r="D37" s="5" t="s">
        <v>295</v>
      </c>
      <c r="E37" s="5" t="s">
        <v>296</v>
      </c>
      <c r="F37" s="4" t="s">
        <v>33</v>
      </c>
      <c r="G37" s="4" t="s">
        <v>34</v>
      </c>
      <c r="H37" s="2" t="s">
        <v>35</v>
      </c>
      <c r="I37" s="4" t="s">
        <v>36</v>
      </c>
      <c r="J37" s="6">
        <v>3.0</v>
      </c>
      <c r="K37" s="7" t="s">
        <v>297</v>
      </c>
      <c r="L37" s="8" t="s">
        <v>298</v>
      </c>
      <c r="M37" s="8" t="s">
        <v>299</v>
      </c>
      <c r="N37" s="8" t="s">
        <v>26</v>
      </c>
      <c r="O37" s="4" t="s">
        <v>300</v>
      </c>
      <c r="P37" s="2" t="s">
        <v>28</v>
      </c>
    </row>
    <row r="38" ht="15.75" customHeight="1">
      <c r="A38" s="9" t="s">
        <v>301</v>
      </c>
      <c r="B38" s="3" t="s">
        <v>17</v>
      </c>
      <c r="C38" s="10" t="s">
        <v>302</v>
      </c>
      <c r="D38" s="11" t="s">
        <v>31</v>
      </c>
      <c r="E38" s="11" t="s">
        <v>303</v>
      </c>
      <c r="F38" s="10" t="s">
        <v>21</v>
      </c>
      <c r="G38" s="10" t="s">
        <v>34</v>
      </c>
      <c r="H38" s="9" t="s">
        <v>35</v>
      </c>
      <c r="I38" s="10" t="s">
        <v>144</v>
      </c>
      <c r="J38" s="6">
        <v>3.0</v>
      </c>
      <c r="K38" s="7" t="s">
        <v>304</v>
      </c>
      <c r="L38" s="8" t="s">
        <v>305</v>
      </c>
      <c r="M38" s="8" t="s">
        <v>306</v>
      </c>
      <c r="N38" s="8" t="s">
        <v>26</v>
      </c>
      <c r="O38" s="10" t="s">
        <v>307</v>
      </c>
      <c r="P38" s="9" t="s">
        <v>28</v>
      </c>
    </row>
    <row r="39" ht="15.75" customHeight="1">
      <c r="A39" s="2" t="s">
        <v>308</v>
      </c>
      <c r="B39" s="3" t="s">
        <v>17</v>
      </c>
      <c r="C39" s="4" t="s">
        <v>309</v>
      </c>
      <c r="D39" s="5" t="s">
        <v>31</v>
      </c>
      <c r="E39" s="5" t="s">
        <v>32</v>
      </c>
      <c r="F39" s="4" t="s">
        <v>33</v>
      </c>
      <c r="G39" s="4" t="s">
        <v>34</v>
      </c>
      <c r="H39" s="2" t="s">
        <v>35</v>
      </c>
      <c r="I39" s="4" t="s">
        <v>36</v>
      </c>
      <c r="J39" s="6">
        <v>4.0</v>
      </c>
      <c r="K39" s="7" t="s">
        <v>310</v>
      </c>
      <c r="L39" s="8" t="s">
        <v>311</v>
      </c>
      <c r="M39" s="8" t="s">
        <v>312</v>
      </c>
      <c r="N39" s="8" t="s">
        <v>26</v>
      </c>
      <c r="O39" s="4" t="s">
        <v>313</v>
      </c>
      <c r="P39" s="2" t="s">
        <v>28</v>
      </c>
    </row>
    <row r="40" ht="15.75" customHeight="1">
      <c r="A40" s="9" t="s">
        <v>314</v>
      </c>
      <c r="B40" s="3" t="s">
        <v>17</v>
      </c>
      <c r="C40" s="10" t="s">
        <v>315</v>
      </c>
      <c r="D40" s="11" t="s">
        <v>31</v>
      </c>
      <c r="E40" s="11" t="s">
        <v>32</v>
      </c>
      <c r="F40" s="10" t="s">
        <v>33</v>
      </c>
      <c r="G40" s="10" t="s">
        <v>34</v>
      </c>
      <c r="H40" s="9" t="s">
        <v>316</v>
      </c>
      <c r="I40" s="10" t="s">
        <v>36</v>
      </c>
      <c r="J40" s="6">
        <v>3.0</v>
      </c>
      <c r="K40" s="7" t="s">
        <v>317</v>
      </c>
      <c r="L40" s="8" t="s">
        <v>318</v>
      </c>
      <c r="M40" s="8" t="s">
        <v>319</v>
      </c>
      <c r="N40" s="8" t="s">
        <v>26</v>
      </c>
      <c r="O40" s="10" t="s">
        <v>320</v>
      </c>
      <c r="P40" s="9" t="s">
        <v>28</v>
      </c>
    </row>
    <row r="41" ht="15.75" customHeight="1">
      <c r="A41" s="2" t="s">
        <v>321</v>
      </c>
      <c r="B41" s="3" t="s">
        <v>17</v>
      </c>
      <c r="C41" s="4" t="s">
        <v>322</v>
      </c>
      <c r="D41" s="5" t="s">
        <v>323</v>
      </c>
      <c r="E41" s="5" t="s">
        <v>324</v>
      </c>
      <c r="F41" s="4" t="s">
        <v>21</v>
      </c>
      <c r="G41" s="4" t="s">
        <v>136</v>
      </c>
      <c r="H41" s="2" t="s">
        <v>35</v>
      </c>
      <c r="I41" s="4" t="s">
        <v>325</v>
      </c>
      <c r="J41" s="6">
        <v>2.0</v>
      </c>
      <c r="K41" s="7" t="s">
        <v>326</v>
      </c>
      <c r="L41" s="8" t="s">
        <v>327</v>
      </c>
      <c r="M41" s="8" t="s">
        <v>328</v>
      </c>
      <c r="N41" s="8" t="s">
        <v>26</v>
      </c>
      <c r="O41" s="4" t="s">
        <v>329</v>
      </c>
      <c r="P41" s="2" t="s">
        <v>28</v>
      </c>
    </row>
    <row r="42" ht="15.75" customHeight="1">
      <c r="A42" s="2" t="s">
        <v>330</v>
      </c>
      <c r="B42" s="3" t="s">
        <v>17</v>
      </c>
      <c r="C42" s="4" t="s">
        <v>331</v>
      </c>
      <c r="D42" s="5" t="s">
        <v>89</v>
      </c>
      <c r="E42" s="5" t="s">
        <v>90</v>
      </c>
      <c r="F42" s="4" t="s">
        <v>21</v>
      </c>
      <c r="G42" s="4" t="s">
        <v>34</v>
      </c>
      <c r="H42" s="2" t="s">
        <v>35</v>
      </c>
      <c r="I42" s="4" t="s">
        <v>316</v>
      </c>
      <c r="J42" s="6">
        <v>4.0</v>
      </c>
      <c r="K42" s="7" t="s">
        <v>332</v>
      </c>
      <c r="L42" s="8" t="s">
        <v>333</v>
      </c>
      <c r="M42" s="8" t="s">
        <v>334</v>
      </c>
      <c r="N42" s="8" t="s">
        <v>26</v>
      </c>
      <c r="O42" s="4" t="s">
        <v>335</v>
      </c>
      <c r="P42" s="2" t="s">
        <v>28</v>
      </c>
    </row>
    <row r="43" ht="15.75" customHeight="1">
      <c r="A43" s="2" t="s">
        <v>336</v>
      </c>
      <c r="B43" s="3" t="s">
        <v>17</v>
      </c>
      <c r="C43" s="4" t="s">
        <v>337</v>
      </c>
      <c r="D43" s="5" t="s">
        <v>338</v>
      </c>
      <c r="E43" s="5" t="s">
        <v>339</v>
      </c>
      <c r="F43" s="4" t="s">
        <v>53</v>
      </c>
      <c r="G43" s="4" t="s">
        <v>43</v>
      </c>
      <c r="H43" s="2" t="s">
        <v>340</v>
      </c>
      <c r="I43" s="4" t="s">
        <v>24</v>
      </c>
      <c r="J43" s="6">
        <v>3.0</v>
      </c>
      <c r="K43" s="7" t="s">
        <v>341</v>
      </c>
      <c r="L43" s="8" t="s">
        <v>342</v>
      </c>
      <c r="M43" s="8" t="s">
        <v>343</v>
      </c>
      <c r="N43" s="8" t="s">
        <v>26</v>
      </c>
      <c r="O43" s="4" t="s">
        <v>344</v>
      </c>
      <c r="P43" s="2" t="s">
        <v>28</v>
      </c>
    </row>
    <row r="44" ht="15.75" customHeight="1">
      <c r="A44" s="2" t="s">
        <v>345</v>
      </c>
      <c r="B44" s="3" t="s">
        <v>17</v>
      </c>
      <c r="C44" s="4" t="s">
        <v>346</v>
      </c>
      <c r="D44" s="5" t="s">
        <v>347</v>
      </c>
      <c r="E44" s="5" t="s">
        <v>348</v>
      </c>
      <c r="F44" s="4" t="s">
        <v>42</v>
      </c>
      <c r="G44" s="4" t="s">
        <v>127</v>
      </c>
      <c r="H44" s="2" t="s">
        <v>35</v>
      </c>
      <c r="I44" s="4" t="s">
        <v>74</v>
      </c>
      <c r="J44" s="6">
        <v>6.0</v>
      </c>
      <c r="K44" s="7" t="s">
        <v>349</v>
      </c>
      <c r="L44" s="8" t="s">
        <v>350</v>
      </c>
      <c r="M44" s="8" t="s">
        <v>351</v>
      </c>
      <c r="N44" s="8" t="s">
        <v>26</v>
      </c>
      <c r="O44" s="4" t="s">
        <v>352</v>
      </c>
      <c r="P44" s="2" t="s">
        <v>28</v>
      </c>
    </row>
    <row r="45" ht="15.75" customHeight="1">
      <c r="A45" s="9" t="s">
        <v>353</v>
      </c>
      <c r="B45" s="3" t="s">
        <v>17</v>
      </c>
      <c r="C45" s="10" t="s">
        <v>354</v>
      </c>
      <c r="D45" s="11" t="s">
        <v>355</v>
      </c>
      <c r="E45" s="11" t="s">
        <v>356</v>
      </c>
      <c r="F45" s="10" t="s">
        <v>81</v>
      </c>
      <c r="G45" s="10" t="s">
        <v>82</v>
      </c>
      <c r="H45" s="9" t="s">
        <v>35</v>
      </c>
      <c r="I45" s="10" t="s">
        <v>36</v>
      </c>
      <c r="J45" s="6">
        <v>3.0</v>
      </c>
      <c r="K45" s="7" t="s">
        <v>357</v>
      </c>
      <c r="L45" s="8"/>
      <c r="M45" s="8"/>
      <c r="N45" s="8" t="s">
        <v>26</v>
      </c>
      <c r="O45" s="10" t="s">
        <v>358</v>
      </c>
      <c r="P45" s="9" t="s">
        <v>28</v>
      </c>
    </row>
    <row r="46" ht="15.75" customHeight="1">
      <c r="A46" s="2" t="s">
        <v>359</v>
      </c>
      <c r="B46" s="3" t="s">
        <v>17</v>
      </c>
      <c r="C46" s="4" t="s">
        <v>360</v>
      </c>
      <c r="D46" s="5"/>
      <c r="E46" s="5"/>
      <c r="F46" s="4" t="s">
        <v>113</v>
      </c>
      <c r="G46" s="4" t="s">
        <v>34</v>
      </c>
      <c r="H46" s="2" t="s">
        <v>361</v>
      </c>
      <c r="I46" s="4" t="s">
        <v>74</v>
      </c>
      <c r="J46" s="6">
        <v>5.0</v>
      </c>
      <c r="K46" s="7" t="s">
        <v>362</v>
      </c>
      <c r="L46" s="8" t="s">
        <v>363</v>
      </c>
      <c r="M46" s="8" t="s">
        <v>364</v>
      </c>
      <c r="N46" s="8" t="s">
        <v>26</v>
      </c>
      <c r="O46" s="4" t="s">
        <v>365</v>
      </c>
      <c r="P46" s="2" t="s">
        <v>28</v>
      </c>
    </row>
    <row r="47" ht="15.75" customHeight="1">
      <c r="A47" s="2" t="s">
        <v>366</v>
      </c>
      <c r="B47" s="3" t="s">
        <v>17</v>
      </c>
      <c r="C47" s="4" t="s">
        <v>360</v>
      </c>
      <c r="D47" s="5" t="s">
        <v>367</v>
      </c>
      <c r="E47" s="5" t="s">
        <v>368</v>
      </c>
      <c r="F47" s="4" t="s">
        <v>113</v>
      </c>
      <c r="G47" s="4" t="s">
        <v>34</v>
      </c>
      <c r="H47" s="2" t="s">
        <v>361</v>
      </c>
      <c r="I47" s="4" t="s">
        <v>74</v>
      </c>
      <c r="J47" s="6">
        <v>3.0</v>
      </c>
      <c r="K47" s="7" t="s">
        <v>369</v>
      </c>
      <c r="L47" s="8" t="s">
        <v>370</v>
      </c>
      <c r="M47" s="8" t="s">
        <v>371</v>
      </c>
      <c r="N47" s="8" t="s">
        <v>26</v>
      </c>
      <c r="O47" s="4" t="s">
        <v>372</v>
      </c>
      <c r="P47" s="2" t="s">
        <v>28</v>
      </c>
    </row>
    <row r="48" ht="15.75" customHeight="1">
      <c r="A48" s="9" t="s">
        <v>373</v>
      </c>
      <c r="B48" s="3" t="s">
        <v>17</v>
      </c>
      <c r="C48" s="10" t="s">
        <v>374</v>
      </c>
      <c r="D48" s="11" t="s">
        <v>31</v>
      </c>
      <c r="E48" s="11" t="s">
        <v>32</v>
      </c>
      <c r="F48" s="10" t="s">
        <v>21</v>
      </c>
      <c r="G48" s="10" t="s">
        <v>34</v>
      </c>
      <c r="H48" s="9" t="s">
        <v>35</v>
      </c>
      <c r="I48" s="10" t="s">
        <v>36</v>
      </c>
      <c r="J48" s="6">
        <v>4.0</v>
      </c>
      <c r="K48" s="7" t="s">
        <v>375</v>
      </c>
      <c r="L48" s="8" t="s">
        <v>376</v>
      </c>
      <c r="M48" s="8" t="s">
        <v>377</v>
      </c>
      <c r="N48" s="8" t="s">
        <v>26</v>
      </c>
      <c r="O48" s="10" t="s">
        <v>378</v>
      </c>
      <c r="P48" s="9" t="s">
        <v>28</v>
      </c>
    </row>
    <row r="49" ht="15.75" customHeight="1">
      <c r="A49" s="2" t="s">
        <v>379</v>
      </c>
      <c r="B49" s="3" t="s">
        <v>17</v>
      </c>
      <c r="C49" s="4" t="s">
        <v>380</v>
      </c>
      <c r="D49" s="5" t="s">
        <v>31</v>
      </c>
      <c r="E49" s="5" t="s">
        <v>32</v>
      </c>
      <c r="F49" s="4" t="s">
        <v>81</v>
      </c>
      <c r="G49" s="4" t="s">
        <v>73</v>
      </c>
      <c r="H49" s="2" t="s">
        <v>35</v>
      </c>
      <c r="I49" s="4" t="s">
        <v>92</v>
      </c>
      <c r="J49" s="6">
        <v>3.0</v>
      </c>
      <c r="K49" s="7" t="s">
        <v>381</v>
      </c>
      <c r="L49" s="8" t="s">
        <v>382</v>
      </c>
      <c r="M49" s="8" t="s">
        <v>383</v>
      </c>
      <c r="N49" s="8" t="s">
        <v>26</v>
      </c>
      <c r="O49" s="4" t="s">
        <v>384</v>
      </c>
      <c r="P49" s="2" t="s">
        <v>28</v>
      </c>
    </row>
    <row r="50" ht="15.75" customHeight="1">
      <c r="A50" s="9" t="s">
        <v>385</v>
      </c>
      <c r="B50" s="3" t="s">
        <v>17</v>
      </c>
      <c r="C50" s="10" t="s">
        <v>386</v>
      </c>
      <c r="D50" s="11" t="s">
        <v>31</v>
      </c>
      <c r="E50" s="11" t="s">
        <v>32</v>
      </c>
      <c r="F50" s="10" t="s">
        <v>81</v>
      </c>
      <c r="G50" s="10" t="s">
        <v>82</v>
      </c>
      <c r="H50" s="9" t="s">
        <v>35</v>
      </c>
      <c r="I50" s="10" t="s">
        <v>36</v>
      </c>
      <c r="J50" s="6">
        <v>3.0</v>
      </c>
      <c r="K50" s="7" t="s">
        <v>387</v>
      </c>
      <c r="L50" s="8" t="s">
        <v>388</v>
      </c>
      <c r="M50" s="8" t="s">
        <v>389</v>
      </c>
      <c r="N50" s="8" t="s">
        <v>26</v>
      </c>
      <c r="O50" s="10" t="s">
        <v>390</v>
      </c>
      <c r="P50" s="9" t="s">
        <v>28</v>
      </c>
    </row>
    <row r="51" ht="15.75" customHeight="1">
      <c r="A51" s="2" t="s">
        <v>391</v>
      </c>
      <c r="B51" s="3" t="s">
        <v>17</v>
      </c>
      <c r="C51" s="4" t="s">
        <v>392</v>
      </c>
      <c r="D51" s="5" t="s">
        <v>393</v>
      </c>
      <c r="E51" s="5" t="s">
        <v>394</v>
      </c>
      <c r="F51" s="4" t="s">
        <v>21</v>
      </c>
      <c r="G51" s="4" t="s">
        <v>34</v>
      </c>
      <c r="H51" s="2" t="s">
        <v>316</v>
      </c>
      <c r="I51" s="4" t="s">
        <v>36</v>
      </c>
      <c r="J51" s="6">
        <v>4.0</v>
      </c>
      <c r="K51" s="7" t="s">
        <v>395</v>
      </c>
      <c r="L51" s="8" t="s">
        <v>396</v>
      </c>
      <c r="M51" s="8" t="s">
        <v>397</v>
      </c>
      <c r="N51" s="8" t="s">
        <v>26</v>
      </c>
      <c r="O51" s="4" t="s">
        <v>398</v>
      </c>
      <c r="P51" s="2" t="s">
        <v>28</v>
      </c>
    </row>
    <row r="52" ht="15.75" customHeight="1">
      <c r="A52" s="9" t="s">
        <v>399</v>
      </c>
      <c r="B52" s="3" t="s">
        <v>17</v>
      </c>
      <c r="C52" s="10" t="s">
        <v>400</v>
      </c>
      <c r="D52" s="11" t="s">
        <v>287</v>
      </c>
      <c r="E52" s="11" t="s">
        <v>401</v>
      </c>
      <c r="F52" s="10" t="s">
        <v>81</v>
      </c>
      <c r="G52" s="10" t="s">
        <v>82</v>
      </c>
      <c r="H52" s="9" t="s">
        <v>35</v>
      </c>
      <c r="I52" s="10" t="s">
        <v>36</v>
      </c>
      <c r="J52" s="6">
        <v>5.0</v>
      </c>
      <c r="K52" s="7" t="s">
        <v>402</v>
      </c>
      <c r="L52" s="8" t="s">
        <v>403</v>
      </c>
      <c r="M52" s="8" t="s">
        <v>404</v>
      </c>
      <c r="N52" s="8" t="s">
        <v>26</v>
      </c>
      <c r="O52" s="10" t="s">
        <v>405</v>
      </c>
      <c r="P52" s="9" t="s">
        <v>28</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20.0"/>
    <col customWidth="1" min="3" max="26" width="8.71"/>
  </cols>
  <sheetData>
    <row r="1" ht="36.0" customHeight="1">
      <c r="A1" s="1" t="s">
        <v>406</v>
      </c>
      <c r="B1" s="1" t="s">
        <v>407</v>
      </c>
    </row>
    <row r="2">
      <c r="A2" s="6" t="s">
        <v>408</v>
      </c>
      <c r="B2" s="6">
        <v>10.0</v>
      </c>
    </row>
    <row r="3">
      <c r="A3" s="6" t="s">
        <v>409</v>
      </c>
      <c r="B3" s="6">
        <v>6.0</v>
      </c>
    </row>
    <row r="4">
      <c r="A4" s="6" t="s">
        <v>410</v>
      </c>
      <c r="B4" s="6">
        <v>6.0</v>
      </c>
    </row>
    <row r="5">
      <c r="A5" s="6" t="s">
        <v>411</v>
      </c>
      <c r="B5" s="6">
        <v>5.0</v>
      </c>
    </row>
    <row r="6">
      <c r="A6" s="6" t="s">
        <v>412</v>
      </c>
      <c r="B6" s="6">
        <v>5.0</v>
      </c>
    </row>
    <row r="7">
      <c r="A7" s="6" t="s">
        <v>413</v>
      </c>
      <c r="B7" s="6">
        <v>5.0</v>
      </c>
    </row>
    <row r="8">
      <c r="A8" s="6" t="s">
        <v>414</v>
      </c>
      <c r="B8" s="6">
        <v>4.0</v>
      </c>
    </row>
    <row r="9">
      <c r="A9" s="6" t="s">
        <v>415</v>
      </c>
      <c r="B9" s="6">
        <v>4.0</v>
      </c>
    </row>
    <row r="10">
      <c r="A10" s="6" t="s">
        <v>416</v>
      </c>
      <c r="B10" s="6">
        <v>4.0</v>
      </c>
    </row>
    <row r="11">
      <c r="A11" s="9" t="s">
        <v>417</v>
      </c>
      <c r="B11" s="9">
        <v>2.0</v>
      </c>
    </row>
    <row r="12">
      <c r="A12" s="2" t="s">
        <v>418</v>
      </c>
      <c r="B12" s="2">
        <v>2.0</v>
      </c>
    </row>
    <row r="13">
      <c r="A13" s="9" t="s">
        <v>419</v>
      </c>
      <c r="B13" s="9">
        <v>2.0</v>
      </c>
    </row>
    <row r="14">
      <c r="A14" s="2" t="s">
        <v>420</v>
      </c>
      <c r="B14" s="2">
        <v>1.0</v>
      </c>
    </row>
    <row r="15">
      <c r="A15" s="9" t="s">
        <v>84</v>
      </c>
      <c r="B15" s="9">
        <v>1.0</v>
      </c>
    </row>
    <row r="16">
      <c r="A16" s="2" t="s">
        <v>421</v>
      </c>
      <c r="B16" s="2">
        <v>1.0</v>
      </c>
    </row>
    <row r="17">
      <c r="A17" s="9" t="s">
        <v>422</v>
      </c>
      <c r="B17" s="9">
        <v>1.0</v>
      </c>
    </row>
    <row r="18">
      <c r="A18" s="2" t="s">
        <v>423</v>
      </c>
      <c r="B18" s="2">
        <v>1.0</v>
      </c>
    </row>
    <row r="19">
      <c r="A19" s="9" t="s">
        <v>424</v>
      </c>
      <c r="B19" s="9">
        <v>1.0</v>
      </c>
    </row>
    <row r="20">
      <c r="A20" s="2" t="s">
        <v>425</v>
      </c>
      <c r="B20" s="2">
        <v>1.0</v>
      </c>
    </row>
    <row r="21" ht="15.75" customHeight="1">
      <c r="A21" s="9" t="s">
        <v>426</v>
      </c>
      <c r="B21" s="9">
        <v>1.0</v>
      </c>
    </row>
    <row r="22" ht="15.75" customHeight="1">
      <c r="A22" s="2" t="s">
        <v>298</v>
      </c>
      <c r="B22" s="2">
        <v>1.0</v>
      </c>
    </row>
    <row r="23" ht="15.75" customHeight="1">
      <c r="A23" s="9" t="s">
        <v>268</v>
      </c>
      <c r="B23" s="9">
        <v>1.0</v>
      </c>
    </row>
    <row r="24" ht="15.75" customHeight="1">
      <c r="A24" s="2" t="s">
        <v>311</v>
      </c>
      <c r="B24" s="2">
        <v>1.0</v>
      </c>
    </row>
    <row r="25" ht="15.75" customHeight="1">
      <c r="A25" s="9" t="s">
        <v>427</v>
      </c>
      <c r="B25" s="9">
        <v>1.0</v>
      </c>
    </row>
    <row r="26" ht="15.75" customHeight="1">
      <c r="A26" s="2" t="s">
        <v>428</v>
      </c>
      <c r="B26" s="2">
        <v>1.0</v>
      </c>
    </row>
    <row r="27" ht="15.75" customHeight="1">
      <c r="A27" s="9" t="s">
        <v>429</v>
      </c>
      <c r="B27" s="9">
        <v>1.0</v>
      </c>
    </row>
    <row r="28" ht="15.75" customHeight="1">
      <c r="A28" s="2" t="s">
        <v>430</v>
      </c>
      <c r="B28" s="2">
        <v>1.0</v>
      </c>
    </row>
    <row r="29" ht="15.75" customHeight="1">
      <c r="A29" s="9" t="s">
        <v>431</v>
      </c>
      <c r="B29" s="9">
        <v>1.0</v>
      </c>
    </row>
    <row r="30" ht="15.75" customHeight="1">
      <c r="A30" s="2" t="s">
        <v>305</v>
      </c>
      <c r="B30" s="2">
        <v>1.0</v>
      </c>
    </row>
    <row r="31" ht="15.75" customHeight="1">
      <c r="A31" s="9" t="s">
        <v>432</v>
      </c>
      <c r="B31" s="9">
        <v>1.0</v>
      </c>
    </row>
    <row r="32" ht="15.75" customHeight="1">
      <c r="A32" s="2" t="s">
        <v>318</v>
      </c>
      <c r="B32" s="2">
        <v>1.0</v>
      </c>
    </row>
    <row r="33" ht="15.75" customHeight="1">
      <c r="A33" s="9" t="s">
        <v>433</v>
      </c>
      <c r="B33" s="9">
        <v>1.0</v>
      </c>
    </row>
    <row r="34" ht="15.75" customHeight="1">
      <c r="A34" s="2" t="s">
        <v>434</v>
      </c>
      <c r="B34" s="2">
        <v>1.0</v>
      </c>
    </row>
    <row r="35" ht="15.75" customHeight="1">
      <c r="A35" s="9" t="s">
        <v>262</v>
      </c>
      <c r="B35" s="9">
        <v>1.0</v>
      </c>
    </row>
    <row r="36" ht="15.75" customHeight="1">
      <c r="A36" s="2" t="s">
        <v>388</v>
      </c>
      <c r="B36" s="2">
        <v>1.0</v>
      </c>
    </row>
    <row r="37" ht="15.75" customHeight="1">
      <c r="A37" s="9" t="s">
        <v>435</v>
      </c>
      <c r="B37" s="9">
        <v>1.0</v>
      </c>
    </row>
    <row r="38" ht="15.75" customHeight="1">
      <c r="A38" s="2" t="s">
        <v>436</v>
      </c>
      <c r="B38" s="2">
        <v>1.0</v>
      </c>
    </row>
    <row r="39" ht="15.75" customHeight="1">
      <c r="A39" s="9" t="s">
        <v>437</v>
      </c>
      <c r="B39" s="9">
        <v>1.0</v>
      </c>
    </row>
    <row r="40" ht="15.75" customHeight="1">
      <c r="A40" s="2" t="s">
        <v>438</v>
      </c>
      <c r="B40" s="2">
        <v>1.0</v>
      </c>
    </row>
    <row r="41" ht="15.75" customHeight="1">
      <c r="A41" s="9" t="s">
        <v>167</v>
      </c>
      <c r="B41" s="9">
        <v>1.0</v>
      </c>
    </row>
    <row r="42" ht="15.75" customHeight="1">
      <c r="A42" s="2" t="s">
        <v>439</v>
      </c>
      <c r="B42" s="2">
        <v>1.0</v>
      </c>
    </row>
    <row r="43" ht="15.75" customHeight="1">
      <c r="A43" s="9" t="s">
        <v>440</v>
      </c>
      <c r="B43" s="9">
        <v>1.0</v>
      </c>
    </row>
    <row r="44" ht="15.75" customHeight="1">
      <c r="A44" s="2" t="s">
        <v>441</v>
      </c>
      <c r="B44" s="2">
        <v>1.0</v>
      </c>
    </row>
    <row r="45" ht="15.75" customHeight="1">
      <c r="A45" s="9" t="s">
        <v>442</v>
      </c>
      <c r="B45" s="9">
        <v>1.0</v>
      </c>
    </row>
    <row r="46" ht="15.75" customHeight="1">
      <c r="A46" s="2" t="s">
        <v>443</v>
      </c>
      <c r="B46" s="2">
        <v>1.0</v>
      </c>
    </row>
    <row r="47" ht="15.75" customHeight="1">
      <c r="A47" s="9" t="s">
        <v>94</v>
      </c>
      <c r="B47" s="9">
        <v>1.0</v>
      </c>
    </row>
    <row r="48" ht="15.75" customHeight="1">
      <c r="A48" s="2" t="s">
        <v>152</v>
      </c>
      <c r="B48" s="2">
        <v>1.0</v>
      </c>
    </row>
    <row r="49" ht="15.75" customHeight="1">
      <c r="A49" s="9" t="s">
        <v>120</v>
      </c>
      <c r="B49" s="9">
        <v>1.0</v>
      </c>
    </row>
    <row r="50" ht="15.75" customHeight="1">
      <c r="A50" s="2" t="s">
        <v>217</v>
      </c>
      <c r="B50" s="2">
        <v>1.0</v>
      </c>
    </row>
    <row r="51" ht="15.75" customHeight="1">
      <c r="A51" s="9" t="s">
        <v>256</v>
      </c>
      <c r="B51" s="9">
        <v>1.0</v>
      </c>
    </row>
    <row r="52" ht="15.75" customHeight="1">
      <c r="A52" s="2" t="s">
        <v>160</v>
      </c>
      <c r="B52" s="2">
        <v>1.0</v>
      </c>
    </row>
    <row r="53" ht="15.75" customHeight="1">
      <c r="A53" s="9" t="s">
        <v>290</v>
      </c>
      <c r="B53" s="9">
        <v>1.0</v>
      </c>
    </row>
    <row r="54" ht="15.75" customHeight="1">
      <c r="A54" s="2" t="s">
        <v>444</v>
      </c>
      <c r="B54" s="2">
        <v>1.0</v>
      </c>
    </row>
    <row r="55" ht="15.75" customHeight="1">
      <c r="A55" s="9" t="s">
        <v>445</v>
      </c>
      <c r="B55" s="9">
        <v>1.0</v>
      </c>
    </row>
    <row r="56" ht="15.75" customHeight="1">
      <c r="A56" s="2" t="s">
        <v>239</v>
      </c>
      <c r="B56" s="2">
        <v>1.0</v>
      </c>
    </row>
    <row r="57" ht="15.75" customHeight="1">
      <c r="A57" s="9" t="s">
        <v>382</v>
      </c>
      <c r="B57" s="9">
        <v>1.0</v>
      </c>
    </row>
    <row r="58" ht="15.75" customHeight="1">
      <c r="A58" s="2" t="s">
        <v>376</v>
      </c>
      <c r="B58" s="2">
        <v>1.0</v>
      </c>
    </row>
    <row r="59" ht="15.75" customHeight="1">
      <c r="A59" s="9" t="s">
        <v>333</v>
      </c>
      <c r="B59" s="9">
        <v>1.0</v>
      </c>
    </row>
    <row r="60" ht="15.75" customHeight="1">
      <c r="A60" s="2" t="s">
        <v>275</v>
      </c>
      <c r="B60" s="2">
        <v>1.0</v>
      </c>
    </row>
    <row r="61" ht="15.75" customHeight="1">
      <c r="A61" s="9" t="s">
        <v>396</v>
      </c>
      <c r="B61" s="9">
        <v>1.0</v>
      </c>
    </row>
    <row r="62" ht="15.75" customHeight="1">
      <c r="A62" s="2" t="s">
        <v>403</v>
      </c>
      <c r="B62" s="2">
        <v>1.0</v>
      </c>
    </row>
    <row r="63" ht="15.75" customHeight="1">
      <c r="A63" s="9" t="s">
        <v>446</v>
      </c>
      <c r="B63" s="9">
        <v>1.0</v>
      </c>
    </row>
    <row r="64" ht="15.75" customHeight="1">
      <c r="A64" s="2" t="s">
        <v>447</v>
      </c>
      <c r="B64" s="2">
        <v>1.0</v>
      </c>
    </row>
    <row r="65" ht="15.75" customHeight="1">
      <c r="A65" s="9" t="s">
        <v>448</v>
      </c>
      <c r="B65" s="9">
        <v>1.0</v>
      </c>
    </row>
    <row r="66" ht="15.75" customHeight="1">
      <c r="A66" s="2" t="s">
        <v>449</v>
      </c>
      <c r="B66" s="2">
        <v>1.0</v>
      </c>
    </row>
    <row r="67" ht="15.75" customHeight="1">
      <c r="A67" s="9" t="s">
        <v>450</v>
      </c>
      <c r="B67" s="9">
        <v>1.0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26" width="8.71"/>
  </cols>
  <sheetData>
    <row r="1">
      <c r="A1" s="14" t="s">
        <v>451</v>
      </c>
      <c r="B1" s="15"/>
      <c r="C1" s="16"/>
    </row>
    <row r="3">
      <c r="A3" s="17" t="s">
        <v>1</v>
      </c>
      <c r="B3" s="17" t="s">
        <v>452</v>
      </c>
    </row>
    <row r="4">
      <c r="A4" s="3" t="s">
        <v>17</v>
      </c>
      <c r="B4" s="3">
        <v>50.0</v>
      </c>
    </row>
    <row r="5">
      <c r="A5" s="13" t="s">
        <v>73</v>
      </c>
      <c r="B5" s="13">
        <v>1.0</v>
      </c>
    </row>
    <row r="7">
      <c r="A7" s="17" t="s">
        <v>453</v>
      </c>
      <c r="B7" s="17" t="s">
        <v>454</v>
      </c>
    </row>
    <row r="8">
      <c r="A8" s="2" t="s">
        <v>455</v>
      </c>
      <c r="B8" s="5">
        <f>COUNTA('AI + Web Search Data'!A2:A52)</f>
        <v>51</v>
      </c>
    </row>
    <row r="9">
      <c r="A9" s="9" t="s">
        <v>456</v>
      </c>
      <c r="B9" s="11">
        <f>COUNTIF('AI + Web Search Data'!J2:J52, "&gt;0")</f>
        <v>51</v>
      </c>
    </row>
    <row r="10">
      <c r="A10" s="2" t="s">
        <v>457</v>
      </c>
      <c r="B10" s="5">
        <f>SUM('AI + Web Search Data'!J2:J52)</f>
        <v>207</v>
      </c>
    </row>
    <row r="11">
      <c r="A11" s="9" t="s">
        <v>458</v>
      </c>
      <c r="B11" s="11">
        <v>197.0</v>
      </c>
    </row>
    <row r="12">
      <c r="A12" s="2" t="s">
        <v>459</v>
      </c>
      <c r="B12" s="5">
        <v>41.0</v>
      </c>
    </row>
    <row r="13">
      <c r="A13" s="9" t="s">
        <v>460</v>
      </c>
      <c r="B13" s="11">
        <f>ROUND(SUM('AI + Web Search Data'!J2:J52)/COUNTA('AI + Web Search Data'!A2:A52),1)</f>
        <v>4.1</v>
      </c>
    </row>
    <row r="14">
      <c r="A14" s="2" t="s">
        <v>461</v>
      </c>
      <c r="B14" s="5">
        <f>COUNTBLANK('AI + Web Search Data'!D2:D52)</f>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4" t="s">
        <v>462</v>
      </c>
      <c r="B1" s="16"/>
    </row>
    <row r="3" ht="72.0" customHeight="1">
      <c r="A3" s="5" t="s">
        <v>463</v>
      </c>
      <c r="B3" s="10" t="s">
        <v>464</v>
      </c>
    </row>
    <row r="4" ht="72.0" customHeight="1">
      <c r="A4" s="5" t="s">
        <v>465</v>
      </c>
      <c r="B4" s="10" t="s">
        <v>466</v>
      </c>
    </row>
    <row r="5" ht="72.0" customHeight="1">
      <c r="A5" s="5" t="s">
        <v>467</v>
      </c>
      <c r="B5" s="10" t="s">
        <v>468</v>
      </c>
    </row>
    <row r="6" ht="72.0" customHeight="1">
      <c r="A6" s="5" t="s">
        <v>469</v>
      </c>
      <c r="B6" s="10" t="s">
        <v>470</v>
      </c>
    </row>
    <row r="7" ht="72.0" customHeight="1">
      <c r="A7" s="5" t="s">
        <v>471</v>
      </c>
      <c r="B7" s="10" t="s">
        <v>472</v>
      </c>
    </row>
    <row r="8" ht="72.0" customHeight="1">
      <c r="A8" s="5" t="s">
        <v>473</v>
      </c>
      <c r="B8" s="10" t="s">
        <v>474</v>
      </c>
    </row>
    <row r="9" ht="72.0" customHeight="1">
      <c r="A9" s="5" t="s">
        <v>475</v>
      </c>
      <c r="B9" s="10" t="s">
        <v>476</v>
      </c>
    </row>
    <row r="10" ht="72.0" customHeight="1">
      <c r="A10" s="5" t="s">
        <v>477</v>
      </c>
      <c r="B10" s="10" t="s">
        <v>478</v>
      </c>
    </row>
    <row r="11" ht="72.0" customHeight="1">
      <c r="A11" s="5" t="s">
        <v>479</v>
      </c>
      <c r="B11" s="10" t="s">
        <v>480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34.0"/>
    <col customWidth="1" min="3" max="4" width="10.0"/>
    <col customWidth="1" min="5" max="5" width="22.0"/>
    <col customWidth="1" min="6" max="6" width="28.0"/>
    <col customWidth="1" min="7" max="7" width="20.0"/>
    <col customWidth="1" min="8" max="26" width="8.71"/>
  </cols>
  <sheetData>
    <row r="1">
      <c r="A1" s="18" t="s">
        <v>481</v>
      </c>
    </row>
    <row r="2" ht="42.0" customHeight="1">
      <c r="A2" s="19" t="s">
        <v>482</v>
      </c>
      <c r="B2" s="15"/>
      <c r="C2" s="15"/>
      <c r="D2" s="15"/>
      <c r="E2" s="15"/>
      <c r="F2" s="15"/>
      <c r="G2" s="16"/>
    </row>
    <row r="3" ht="27.75" customHeight="1">
      <c r="A3" s="19" t="s">
        <v>483</v>
      </c>
      <c r="B3" s="15"/>
      <c r="C3" s="15"/>
      <c r="D3" s="15"/>
      <c r="E3" s="15"/>
      <c r="F3" s="15"/>
      <c r="G3" s="16"/>
    </row>
    <row r="5">
      <c r="A5" s="20" t="s">
        <v>0</v>
      </c>
      <c r="B5" s="20" t="s">
        <v>484</v>
      </c>
      <c r="C5" s="20" t="s">
        <v>3</v>
      </c>
      <c r="D5" s="20" t="s">
        <v>4</v>
      </c>
      <c r="E5" s="20" t="s">
        <v>485</v>
      </c>
      <c r="F5" s="20" t="s">
        <v>486</v>
      </c>
      <c r="G5" s="20" t="s">
        <v>487</v>
      </c>
    </row>
    <row r="6">
      <c r="A6" s="21" t="s">
        <v>97</v>
      </c>
      <c r="B6" s="21" t="s">
        <v>488</v>
      </c>
      <c r="C6" s="21">
        <v>6.0</v>
      </c>
      <c r="D6" s="21">
        <v>17.17</v>
      </c>
      <c r="E6" s="21" t="s">
        <v>489</v>
      </c>
      <c r="F6" s="21"/>
      <c r="G6" s="21" t="s">
        <v>490</v>
      </c>
    </row>
    <row r="7">
      <c r="A7" s="21" t="s">
        <v>169</v>
      </c>
      <c r="B7" s="21" t="s">
        <v>491</v>
      </c>
      <c r="C7" s="21">
        <v>6.98</v>
      </c>
      <c r="D7" s="21">
        <v>40.99</v>
      </c>
      <c r="E7" s="21" t="s">
        <v>489</v>
      </c>
      <c r="F7" s="21"/>
      <c r="G7" s="21" t="s">
        <v>490</v>
      </c>
    </row>
    <row r="8">
      <c r="A8" s="21" t="s">
        <v>123</v>
      </c>
      <c r="B8" s="21" t="s">
        <v>492</v>
      </c>
      <c r="C8" s="21">
        <v>6.95</v>
      </c>
      <c r="D8" s="21">
        <v>13.95</v>
      </c>
      <c r="E8" s="21" t="s">
        <v>489</v>
      </c>
      <c r="F8" s="21"/>
      <c r="G8" s="21" t="s">
        <v>490</v>
      </c>
    </row>
    <row r="9">
      <c r="A9" s="21" t="s">
        <v>104</v>
      </c>
      <c r="B9" s="21" t="s">
        <v>493</v>
      </c>
      <c r="C9" s="21">
        <v>6.49</v>
      </c>
      <c r="D9" s="21">
        <v>20.81</v>
      </c>
      <c r="E9" s="21" t="s">
        <v>489</v>
      </c>
      <c r="F9" s="21"/>
      <c r="G9" s="21" t="s">
        <v>490</v>
      </c>
    </row>
    <row r="10">
      <c r="A10" s="21" t="s">
        <v>79</v>
      </c>
      <c r="B10" s="21" t="s">
        <v>494</v>
      </c>
      <c r="C10" s="21">
        <v>5.95</v>
      </c>
      <c r="D10" s="21">
        <v>16.09</v>
      </c>
      <c r="E10" s="21" t="s">
        <v>489</v>
      </c>
      <c r="F10" s="21"/>
      <c r="G10" s="21" t="s">
        <v>490</v>
      </c>
    </row>
    <row r="11">
      <c r="A11" s="21" t="s">
        <v>230</v>
      </c>
      <c r="B11" s="21" t="s">
        <v>495</v>
      </c>
      <c r="C11" s="21">
        <v>4.59</v>
      </c>
      <c r="D11" s="21">
        <v>9.33</v>
      </c>
      <c r="E11" s="21" t="s">
        <v>489</v>
      </c>
      <c r="F11" s="21"/>
      <c r="G11" s="21" t="s">
        <v>490</v>
      </c>
    </row>
    <row r="12">
      <c r="A12" s="21" t="s">
        <v>242</v>
      </c>
      <c r="B12" s="21" t="s">
        <v>496</v>
      </c>
      <c r="C12" s="21">
        <v>7.24</v>
      </c>
      <c r="D12" s="21">
        <v>15.74</v>
      </c>
      <c r="E12" s="21" t="s">
        <v>489</v>
      </c>
      <c r="F12" s="21"/>
      <c r="G12" s="21" t="s">
        <v>490</v>
      </c>
    </row>
    <row r="13">
      <c r="A13" s="21" t="s">
        <v>204</v>
      </c>
      <c r="B13" s="21" t="s">
        <v>497</v>
      </c>
      <c r="C13" s="21">
        <v>7.63</v>
      </c>
      <c r="D13" s="21">
        <v>32.54</v>
      </c>
      <c r="E13" s="21" t="s">
        <v>489</v>
      </c>
      <c r="F13" s="21"/>
      <c r="G13" s="21" t="s">
        <v>490</v>
      </c>
    </row>
    <row r="14">
      <c r="A14" s="21" t="s">
        <v>293</v>
      </c>
      <c r="B14" s="21" t="s">
        <v>498</v>
      </c>
      <c r="C14" s="21">
        <v>6.9</v>
      </c>
      <c r="D14" s="21">
        <v>15.9</v>
      </c>
      <c r="E14" s="21" t="s">
        <v>489</v>
      </c>
      <c r="F14" s="21"/>
      <c r="G14" s="21" t="s">
        <v>490</v>
      </c>
    </row>
    <row r="15">
      <c r="A15" s="21" t="s">
        <v>265</v>
      </c>
      <c r="B15" s="21" t="s">
        <v>494</v>
      </c>
      <c r="C15" s="21">
        <v>5.95</v>
      </c>
      <c r="D15" s="21">
        <v>16.09</v>
      </c>
      <c r="E15" s="21" t="s">
        <v>489</v>
      </c>
      <c r="F15" s="21"/>
      <c r="G15" s="21" t="s">
        <v>490</v>
      </c>
    </row>
    <row r="16">
      <c r="A16" s="21" t="s">
        <v>308</v>
      </c>
      <c r="B16" s="21" t="s">
        <v>494</v>
      </c>
      <c r="C16" s="21">
        <v>5.95</v>
      </c>
      <c r="D16" s="21">
        <v>16.09</v>
      </c>
      <c r="E16" s="21" t="s">
        <v>489</v>
      </c>
      <c r="F16" s="21"/>
      <c r="G16" s="21" t="s">
        <v>490</v>
      </c>
    </row>
    <row r="17">
      <c r="A17" s="21" t="s">
        <v>278</v>
      </c>
      <c r="B17" s="21" t="s">
        <v>494</v>
      </c>
      <c r="C17" s="21">
        <v>5.95</v>
      </c>
      <c r="D17" s="21">
        <v>16.09</v>
      </c>
      <c r="E17" s="21" t="s">
        <v>489</v>
      </c>
      <c r="F17" s="21"/>
      <c r="G17" s="21" t="s">
        <v>490</v>
      </c>
    </row>
    <row r="18">
      <c r="A18" s="21" t="s">
        <v>194</v>
      </c>
      <c r="B18" s="21" t="s">
        <v>499</v>
      </c>
      <c r="C18" s="21">
        <v>9.71</v>
      </c>
      <c r="D18" s="21">
        <v>30.59</v>
      </c>
      <c r="E18" s="21" t="s">
        <v>489</v>
      </c>
      <c r="F18" s="21"/>
      <c r="G18" s="21" t="s">
        <v>490</v>
      </c>
    </row>
    <row r="19">
      <c r="A19" s="21" t="s">
        <v>301</v>
      </c>
      <c r="B19" s="21" t="s">
        <v>500</v>
      </c>
      <c r="C19" s="21">
        <v>5.95</v>
      </c>
      <c r="D19" s="21">
        <v>17.15</v>
      </c>
      <c r="E19" s="21" t="s">
        <v>489</v>
      </c>
      <c r="F19" s="21"/>
      <c r="G19" s="21" t="s">
        <v>490</v>
      </c>
    </row>
    <row r="20">
      <c r="A20" s="21" t="s">
        <v>336</v>
      </c>
      <c r="B20" s="21" t="s">
        <v>501</v>
      </c>
      <c r="C20" s="21">
        <v>8.92</v>
      </c>
      <c r="D20" s="21">
        <v>29.49</v>
      </c>
      <c r="E20" s="21" t="s">
        <v>502</v>
      </c>
      <c r="F20" s="21" t="s">
        <v>503</v>
      </c>
      <c r="G20" s="21" t="s">
        <v>504</v>
      </c>
    </row>
    <row r="21" ht="15.75" customHeight="1">
      <c r="A21" s="21" t="s">
        <v>314</v>
      </c>
      <c r="B21" s="21" t="s">
        <v>494</v>
      </c>
      <c r="C21" s="21">
        <v>5.95</v>
      </c>
      <c r="D21" s="21">
        <v>16.09</v>
      </c>
      <c r="E21" s="21" t="s">
        <v>489</v>
      </c>
      <c r="F21" s="21"/>
      <c r="G21" s="21" t="s">
        <v>490</v>
      </c>
    </row>
    <row r="22" ht="15.75" customHeight="1">
      <c r="A22" s="21" t="s">
        <v>345</v>
      </c>
      <c r="B22" s="21" t="s">
        <v>505</v>
      </c>
      <c r="C22" s="21">
        <v>7.8</v>
      </c>
      <c r="D22" s="21">
        <v>16.08</v>
      </c>
      <c r="E22" s="21" t="s">
        <v>489</v>
      </c>
      <c r="F22" s="21"/>
      <c r="G22" s="21" t="s">
        <v>490</v>
      </c>
    </row>
    <row r="23" ht="15.75" customHeight="1">
      <c r="A23" s="21" t="s">
        <v>353</v>
      </c>
      <c r="B23" s="21" t="s">
        <v>506</v>
      </c>
      <c r="C23" s="21">
        <v>6.25</v>
      </c>
      <c r="D23" s="21">
        <v>17.49</v>
      </c>
      <c r="E23" s="21" t="s">
        <v>489</v>
      </c>
      <c r="F23" s="21"/>
      <c r="G23" s="21" t="s">
        <v>490</v>
      </c>
    </row>
    <row r="24" ht="15.75" customHeight="1">
      <c r="A24" s="21" t="s">
        <v>259</v>
      </c>
      <c r="B24" s="21" t="s">
        <v>494</v>
      </c>
      <c r="C24" s="21">
        <v>5.95</v>
      </c>
      <c r="D24" s="21">
        <v>16.09</v>
      </c>
      <c r="E24" s="21" t="s">
        <v>489</v>
      </c>
      <c r="F24" s="21"/>
      <c r="G24" s="21" t="s">
        <v>490</v>
      </c>
    </row>
    <row r="25" ht="15.75" customHeight="1">
      <c r="A25" s="21" t="s">
        <v>385</v>
      </c>
      <c r="B25" s="21" t="s">
        <v>494</v>
      </c>
      <c r="C25" s="21">
        <v>5.95</v>
      </c>
      <c r="D25" s="21">
        <v>16.09</v>
      </c>
      <c r="E25" s="21" t="s">
        <v>489</v>
      </c>
      <c r="F25" s="21"/>
      <c r="G25" s="21" t="s">
        <v>490</v>
      </c>
    </row>
    <row r="26" ht="15.75" customHeight="1">
      <c r="A26" s="21" t="s">
        <v>16</v>
      </c>
      <c r="B26" s="21" t="s">
        <v>507</v>
      </c>
      <c r="C26" s="21">
        <v>11.15</v>
      </c>
      <c r="D26" s="21">
        <v>29.5</v>
      </c>
      <c r="E26" s="21" t="s">
        <v>489</v>
      </c>
      <c r="F26" s="21"/>
      <c r="G26" s="21" t="s">
        <v>490</v>
      </c>
    </row>
    <row r="27" ht="15.75" customHeight="1">
      <c r="A27" s="21" t="s">
        <v>39</v>
      </c>
      <c r="B27" s="21" t="s">
        <v>508</v>
      </c>
      <c r="C27" s="21">
        <v>22.8</v>
      </c>
      <c r="D27" s="21">
        <v>22.8</v>
      </c>
      <c r="E27" s="21" t="s">
        <v>502</v>
      </c>
      <c r="F27" s="21" t="s">
        <v>503</v>
      </c>
      <c r="G27" s="21" t="s">
        <v>504</v>
      </c>
    </row>
    <row r="28" ht="15.75" customHeight="1">
      <c r="A28" s="21" t="s">
        <v>366</v>
      </c>
      <c r="B28" s="21" t="s">
        <v>509</v>
      </c>
      <c r="C28" s="21">
        <v>7.51</v>
      </c>
      <c r="D28" s="21">
        <v>28.58</v>
      </c>
      <c r="E28" s="21" t="s">
        <v>489</v>
      </c>
      <c r="F28" s="21"/>
      <c r="G28" s="21" t="s">
        <v>490</v>
      </c>
    </row>
    <row r="29" ht="15.75" customHeight="1">
      <c r="A29" s="21" t="s">
        <v>163</v>
      </c>
      <c r="B29" s="21" t="s">
        <v>165</v>
      </c>
      <c r="C29" s="21"/>
      <c r="D29" s="21"/>
      <c r="E29" s="21" t="s">
        <v>489</v>
      </c>
      <c r="F29" s="21"/>
      <c r="G29" s="21" t="s">
        <v>510</v>
      </c>
    </row>
    <row r="30" ht="15.75" customHeight="1">
      <c r="A30" s="21" t="s">
        <v>49</v>
      </c>
      <c r="B30" s="21" t="s">
        <v>511</v>
      </c>
      <c r="C30" s="21">
        <v>4.95</v>
      </c>
      <c r="D30" s="21">
        <v>22.0</v>
      </c>
      <c r="E30" s="21" t="s">
        <v>489</v>
      </c>
      <c r="F30" s="21"/>
      <c r="G30" s="21" t="s">
        <v>490</v>
      </c>
    </row>
    <row r="31" ht="15.75" customHeight="1">
      <c r="A31" s="21" t="s">
        <v>132</v>
      </c>
      <c r="B31" s="21" t="s">
        <v>512</v>
      </c>
      <c r="C31" s="21">
        <v>6.83</v>
      </c>
      <c r="D31" s="21">
        <v>18.9</v>
      </c>
      <c r="E31" s="21" t="s">
        <v>489</v>
      </c>
      <c r="F31" s="21"/>
      <c r="G31" s="21" t="s">
        <v>490</v>
      </c>
    </row>
    <row r="32" ht="15.75" customHeight="1">
      <c r="A32" s="21" t="s">
        <v>359</v>
      </c>
      <c r="B32" s="21" t="s">
        <v>513</v>
      </c>
      <c r="C32" s="21"/>
      <c r="D32" s="21"/>
      <c r="E32" s="21" t="s">
        <v>489</v>
      </c>
      <c r="F32" s="21"/>
      <c r="G32" s="21" t="s">
        <v>510</v>
      </c>
    </row>
    <row r="33" ht="15.75" customHeight="1">
      <c r="A33" s="21" t="s">
        <v>29</v>
      </c>
      <c r="B33" s="21" t="s">
        <v>494</v>
      </c>
      <c r="C33" s="21">
        <v>5.95</v>
      </c>
      <c r="D33" s="21">
        <v>16.09</v>
      </c>
      <c r="E33" s="21" t="s">
        <v>489</v>
      </c>
      <c r="F33" s="21"/>
      <c r="G33" s="21" t="s">
        <v>490</v>
      </c>
    </row>
    <row r="34" ht="15.75" customHeight="1">
      <c r="A34" s="21" t="s">
        <v>57</v>
      </c>
      <c r="B34" s="21" t="s">
        <v>514</v>
      </c>
      <c r="C34" s="21">
        <v>14.82</v>
      </c>
      <c r="D34" s="21">
        <v>29.27</v>
      </c>
      <c r="E34" s="21" t="s">
        <v>489</v>
      </c>
      <c r="F34" s="21"/>
      <c r="G34" s="21" t="s">
        <v>490</v>
      </c>
    </row>
    <row r="35" ht="15.75" customHeight="1">
      <c r="A35" s="21" t="s">
        <v>111</v>
      </c>
      <c r="B35" s="21" t="s">
        <v>494</v>
      </c>
      <c r="C35" s="21">
        <v>5.95</v>
      </c>
      <c r="D35" s="21">
        <v>16.09</v>
      </c>
      <c r="E35" s="21" t="s">
        <v>489</v>
      </c>
      <c r="F35" s="21"/>
      <c r="G35" s="21" t="s">
        <v>490</v>
      </c>
    </row>
    <row r="36" ht="15.75" customHeight="1">
      <c r="A36" s="21" t="s">
        <v>186</v>
      </c>
      <c r="B36" s="21" t="s">
        <v>515</v>
      </c>
      <c r="C36" s="21"/>
      <c r="D36" s="21"/>
      <c r="E36" s="21" t="s">
        <v>489</v>
      </c>
      <c r="F36" s="21"/>
      <c r="G36" s="21" t="s">
        <v>510</v>
      </c>
    </row>
    <row r="37" ht="15.75" customHeight="1">
      <c r="A37" s="21" t="s">
        <v>87</v>
      </c>
      <c r="B37" s="21" t="s">
        <v>516</v>
      </c>
      <c r="C37" s="21">
        <v>6.2</v>
      </c>
      <c r="D37" s="21">
        <v>16.34</v>
      </c>
      <c r="E37" s="21" t="s">
        <v>489</v>
      </c>
      <c r="F37" s="21"/>
      <c r="G37" s="21" t="s">
        <v>490</v>
      </c>
    </row>
    <row r="38" ht="15.75" customHeight="1">
      <c r="A38" s="21" t="s">
        <v>142</v>
      </c>
      <c r="B38" s="21" t="s">
        <v>494</v>
      </c>
      <c r="C38" s="21">
        <v>5.95</v>
      </c>
      <c r="D38" s="21">
        <v>16.09</v>
      </c>
      <c r="E38" s="21" t="s">
        <v>489</v>
      </c>
      <c r="F38" s="21"/>
      <c r="G38" s="21" t="s">
        <v>490</v>
      </c>
    </row>
    <row r="39" ht="15.75" customHeight="1">
      <c r="A39" s="21" t="s">
        <v>147</v>
      </c>
      <c r="B39" s="21" t="s">
        <v>517</v>
      </c>
      <c r="C39" s="21">
        <v>6.15</v>
      </c>
      <c r="D39" s="21">
        <v>14.85</v>
      </c>
      <c r="E39" s="21" t="s">
        <v>489</v>
      </c>
      <c r="F39" s="21"/>
      <c r="G39" s="21" t="s">
        <v>490</v>
      </c>
    </row>
    <row r="40" ht="15.75" customHeight="1">
      <c r="A40" s="21" t="s">
        <v>117</v>
      </c>
      <c r="B40" s="21" t="s">
        <v>494</v>
      </c>
      <c r="C40" s="21">
        <v>5.95</v>
      </c>
      <c r="D40" s="21">
        <v>16.09</v>
      </c>
      <c r="E40" s="21" t="s">
        <v>502</v>
      </c>
      <c r="F40" s="21" t="s">
        <v>518</v>
      </c>
      <c r="G40" s="21" t="s">
        <v>504</v>
      </c>
    </row>
    <row r="41" ht="15.75" customHeight="1">
      <c r="A41" s="21" t="s">
        <v>220</v>
      </c>
      <c r="B41" s="21" t="s">
        <v>494</v>
      </c>
      <c r="C41" s="21">
        <v>5.95</v>
      </c>
      <c r="D41" s="21">
        <v>16.09</v>
      </c>
      <c r="E41" s="21" t="s">
        <v>489</v>
      </c>
      <c r="F41" s="21"/>
      <c r="G41" s="21" t="s">
        <v>490</v>
      </c>
    </row>
    <row r="42" ht="15.75" customHeight="1">
      <c r="A42" s="21" t="s">
        <v>212</v>
      </c>
      <c r="B42" s="21" t="s">
        <v>519</v>
      </c>
      <c r="C42" s="21">
        <v>6.34</v>
      </c>
      <c r="D42" s="21">
        <v>15.84</v>
      </c>
      <c r="E42" s="21" t="s">
        <v>489</v>
      </c>
      <c r="F42" s="21"/>
      <c r="G42" s="21" t="s">
        <v>490</v>
      </c>
    </row>
    <row r="43" ht="15.75" customHeight="1">
      <c r="A43" s="21" t="s">
        <v>251</v>
      </c>
      <c r="B43" s="21" t="s">
        <v>520</v>
      </c>
      <c r="C43" s="21">
        <v>5.2</v>
      </c>
      <c r="D43" s="21">
        <v>15.34</v>
      </c>
      <c r="E43" s="21" t="s">
        <v>489</v>
      </c>
      <c r="F43" s="21"/>
      <c r="G43" s="21" t="s">
        <v>490</v>
      </c>
    </row>
    <row r="44" ht="15.75" customHeight="1">
      <c r="A44" s="21" t="s">
        <v>155</v>
      </c>
      <c r="B44" s="21" t="s">
        <v>521</v>
      </c>
      <c r="C44" s="21">
        <v>8.01</v>
      </c>
      <c r="D44" s="21">
        <v>8.15</v>
      </c>
      <c r="E44" s="21" t="s">
        <v>502</v>
      </c>
      <c r="F44" s="21" t="s">
        <v>518</v>
      </c>
      <c r="G44" s="21" t="s">
        <v>504</v>
      </c>
    </row>
    <row r="45" ht="15.75" customHeight="1">
      <c r="A45" s="21" t="s">
        <v>285</v>
      </c>
      <c r="B45" s="21" t="s">
        <v>522</v>
      </c>
      <c r="C45" s="21">
        <v>5.45</v>
      </c>
      <c r="D45" s="21">
        <v>10.3</v>
      </c>
      <c r="E45" s="21" t="s">
        <v>489</v>
      </c>
      <c r="F45" s="21"/>
      <c r="G45" s="21" t="s">
        <v>490</v>
      </c>
    </row>
    <row r="46" ht="15.75" customHeight="1">
      <c r="A46" s="21" t="s">
        <v>321</v>
      </c>
      <c r="B46" s="21" t="s">
        <v>523</v>
      </c>
      <c r="C46" s="21">
        <v>5.39</v>
      </c>
      <c r="D46" s="21">
        <v>9.39</v>
      </c>
      <c r="E46" s="21" t="s">
        <v>489</v>
      </c>
      <c r="F46" s="21"/>
      <c r="G46" s="21" t="s">
        <v>490</v>
      </c>
    </row>
    <row r="47" ht="15.75" customHeight="1">
      <c r="A47" s="21" t="s">
        <v>236</v>
      </c>
      <c r="B47" s="21" t="s">
        <v>524</v>
      </c>
      <c r="C47" s="21"/>
      <c r="D47" s="21"/>
      <c r="E47" s="21" t="s">
        <v>489</v>
      </c>
      <c r="F47" s="21"/>
      <c r="G47" s="21" t="s">
        <v>510</v>
      </c>
    </row>
    <row r="48" ht="15.75" customHeight="1">
      <c r="A48" s="21" t="s">
        <v>379</v>
      </c>
      <c r="B48" s="21" t="s">
        <v>494</v>
      </c>
      <c r="C48" s="21">
        <v>5.95</v>
      </c>
      <c r="D48" s="21">
        <v>16.09</v>
      </c>
      <c r="E48" s="21" t="s">
        <v>489</v>
      </c>
      <c r="F48" s="21"/>
      <c r="G48" s="21" t="s">
        <v>490</v>
      </c>
    </row>
    <row r="49" ht="15.75" customHeight="1">
      <c r="A49" s="21" t="s">
        <v>373</v>
      </c>
      <c r="B49" s="21" t="s">
        <v>494</v>
      </c>
      <c r="C49" s="21">
        <v>5.95</v>
      </c>
      <c r="D49" s="21">
        <v>16.09</v>
      </c>
      <c r="E49" s="21" t="s">
        <v>489</v>
      </c>
      <c r="F49" s="21"/>
      <c r="G49" s="21" t="s">
        <v>490</v>
      </c>
    </row>
    <row r="50" ht="15.75" customHeight="1">
      <c r="A50" s="21" t="s">
        <v>330</v>
      </c>
      <c r="B50" s="21" t="s">
        <v>516</v>
      </c>
      <c r="C50" s="21">
        <v>6.2</v>
      </c>
      <c r="D50" s="21">
        <v>16.34</v>
      </c>
      <c r="E50" s="21" t="s">
        <v>502</v>
      </c>
      <c r="F50" s="21" t="s">
        <v>518</v>
      </c>
      <c r="G50" s="21" t="s">
        <v>504</v>
      </c>
    </row>
    <row r="51" ht="15.75" customHeight="1">
      <c r="A51" s="21" t="s">
        <v>271</v>
      </c>
      <c r="B51" s="21" t="s">
        <v>73</v>
      </c>
      <c r="C51" s="21"/>
      <c r="D51" s="21"/>
      <c r="E51" s="21" t="s">
        <v>489</v>
      </c>
      <c r="F51" s="21"/>
      <c r="G51" s="21" t="s">
        <v>510</v>
      </c>
    </row>
    <row r="52" ht="15.75" customHeight="1">
      <c r="A52" s="21" t="s">
        <v>391</v>
      </c>
      <c r="B52" s="21" t="s">
        <v>525</v>
      </c>
      <c r="C52" s="21">
        <v>6.18</v>
      </c>
      <c r="D52" s="21">
        <v>14.7</v>
      </c>
      <c r="E52" s="21" t="s">
        <v>489</v>
      </c>
      <c r="F52" s="21"/>
      <c r="G52" s="21" t="s">
        <v>490</v>
      </c>
    </row>
    <row r="53" ht="15.75" customHeight="1">
      <c r="A53" s="21" t="s">
        <v>399</v>
      </c>
      <c r="B53" s="21" t="s">
        <v>526</v>
      </c>
      <c r="C53" s="21">
        <v>5.45</v>
      </c>
      <c r="D53" s="21">
        <v>15.59</v>
      </c>
      <c r="E53" s="21" t="s">
        <v>489</v>
      </c>
      <c r="F53" s="21"/>
      <c r="G53" s="21" t="s">
        <v>490</v>
      </c>
    </row>
    <row r="54" ht="15.75" customHeight="1">
      <c r="A54" s="21" t="s">
        <v>178</v>
      </c>
      <c r="B54" s="21" t="s">
        <v>527</v>
      </c>
      <c r="C54" s="21">
        <v>5.24</v>
      </c>
      <c r="D54" s="21">
        <v>13.97</v>
      </c>
      <c r="E54" s="21" t="s">
        <v>489</v>
      </c>
      <c r="F54" s="21"/>
      <c r="G54" s="21" t="s">
        <v>490</v>
      </c>
    </row>
    <row r="55" ht="15.75" customHeight="1">
      <c r="A55" s="21" t="s">
        <v>68</v>
      </c>
      <c r="B55" s="21" t="s">
        <v>528</v>
      </c>
      <c r="C55" s="21">
        <v>9.82</v>
      </c>
      <c r="D55" s="21">
        <v>35.21</v>
      </c>
      <c r="E55" s="21" t="s">
        <v>489</v>
      </c>
      <c r="F55" s="21"/>
      <c r="G55" s="21" t="s">
        <v>490</v>
      </c>
    </row>
    <row r="56" ht="15.75" customHeight="1">
      <c r="A56" s="21" t="s">
        <v>224</v>
      </c>
      <c r="B56" s="21" t="s">
        <v>529</v>
      </c>
      <c r="C56" s="21">
        <v>6.63</v>
      </c>
      <c r="D56" s="21">
        <v>16.02</v>
      </c>
      <c r="E56" s="21" t="s">
        <v>489</v>
      </c>
      <c r="F56" s="21"/>
      <c r="G56" s="21" t="s">
        <v>490</v>
      </c>
    </row>
    <row r="57" ht="15.75" customHeight="1"/>
    <row r="58" ht="15.75" customHeight="1">
      <c r="A58" s="22" t="s">
        <v>530</v>
      </c>
    </row>
    <row r="59" ht="15.75" customHeight="1">
      <c r="A59" s="23" t="s">
        <v>502</v>
      </c>
      <c r="B59" s="23">
        <v>5.0</v>
      </c>
    </row>
    <row r="60" ht="15.75" customHeight="1">
      <c r="A60" s="23" t="s">
        <v>531</v>
      </c>
      <c r="B60" s="23">
        <v>0.0</v>
      </c>
    </row>
    <row r="61" ht="15.75" customHeight="1">
      <c r="A61" s="23" t="s">
        <v>532</v>
      </c>
      <c r="B61" s="23">
        <v>0.0</v>
      </c>
    </row>
    <row r="62" ht="15.75" customHeight="1">
      <c r="A62" s="23" t="s">
        <v>489</v>
      </c>
      <c r="B62" s="23">
        <v>46.0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1.0" footer="0.0" header="0.0" left="0.75" right="0.75" top="1.0"/>
  <pageSetup orientation="landscape"/>
  <drawing r:id="rId1"/>
</worksheet>
</file>