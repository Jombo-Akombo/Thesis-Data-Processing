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+ Web Search Data" sheetId="1" r:id="rId5"/>
    <sheet state="visible" name="Citation Sources" sheetId="2" r:id="rId6"/>
    <sheet state="visible" name="Summary Stats" sheetId="3" r:id="rId7"/>
    <sheet state="visible" name="Methodology" sheetId="4" r:id="rId8"/>
    <sheet state="visible" name="APR Classification" sheetId="5" r:id="rId9"/>
  </sheets>
  <definedNames>
    <definedName hidden="1" localSheetId="0" name="_xlnm._FilterDatabase">'AI + Web Search Data'!$A$1:$P$1</definedName>
    <definedName hidden="1" localSheetId="1" name="_xlnm._FilterDatabase">'Citation Sources'!$A$1:$B$1</definedName>
  </definedNames>
  <calcPr/>
</workbook>
</file>

<file path=xl/sharedStrings.xml><?xml version="1.0" encoding="utf-8"?>
<sst xmlns="http://schemas.openxmlformats.org/spreadsheetml/2006/main" count="1228" uniqueCount="656">
  <si>
    <t>Bank</t>
  </si>
  <si>
    <t>Product Type</t>
  </si>
  <si>
    <t>Product Page URL</t>
  </si>
  <si>
    <t>Min APR</t>
  </si>
  <si>
    <t>Max APR</t>
  </si>
  <si>
    <t>Max Loan Amount</t>
  </si>
  <si>
    <t>Min Loan Amount</t>
  </si>
  <si>
    <t>Min Age</t>
  </si>
  <si>
    <t>Max Term</t>
  </si>
  <si>
    <t>Searches Run</t>
  </si>
  <si>
    <t>Search Queries
(NOT EXPOSED by Claude)</t>
  </si>
  <si>
    <t>Cited URLs
(shaped the answer)</t>
  </si>
  <si>
    <t>Cited Snippets</t>
  </si>
  <si>
    <t>All Result URLs
(returned by search engine)</t>
  </si>
  <si>
    <t>Notes</t>
  </si>
  <si>
    <t>Data Source</t>
  </si>
  <si>
    <t>Avida Finans AB</t>
  </si>
  <si>
    <t>consumer_loan</t>
  </si>
  <si>
    <t>https://www.avidafinance.com/sv/privatlan</t>
  </si>
  <si>
    <t>11.15%</t>
  </si>
  <si>
    <t>29.50%</t>
  </si>
  <si>
    <t>350000</t>
  </si>
  <si>
    <t>10000</t>
  </si>
  <si>
    <t>20</t>
  </si>
  <si>
    <t>15 years</t>
  </si>
  <si>
    <t>(Claude does not expose
the search query strings.)</t>
  </si>
  <si>
    <t>https://news.cision.com/avida-finans-ab/r/avida-s-year-end-report-2024,c4111701
https://thebanks.eu/banks/17537
https://www.fi.se/en/published/sanctions/financial-firms/2025/avida-finans-receives-a-remark-and-administrative-fine/
https://news.cision.com/avida-finans-ab/Index/Profile/
https://www.stacc.com/who-we-serve/avida-finans
https://www.bloomberg.com/profile/company/0900559D:SS
https://pickthebank.eu/banks/sweden/avida-finans-ab-publ-affnfi21/
https://news.cision.com/avida-finans-ab/r/avida-finans-ab--publ--completes-sek-2-8-billion-securitisation--creating-conditions-for-continued-g,c4217943
https://media.umbraco.io/avida-web/bfddvdkg/annual-report-avida-finans-ab-2024_en.pdf
https://www.fi.se/en/our-registers/prospektregistret/GetFile?id=24-18639&amp;format=application/pdf&amp;name=24-18639.pdf
https://www.bank24.se/avida/
https://enklare.se/partners/avida/
https://trygga.com/lana-pengar/langivare/avida-finans/
https://www.mystep.se/kreditgivare/avidafinans
https://www.kreditkoll.nu/kreditgivare/avida
https://www.avidafinance.com/
https://finansfreak.se/omdomen/avida-finans/privatlan
https://www.lanekoll.se/partners/avida-finans
https://www.sambla.se/partners/avida-finans/
https://finansvalp.se/omdomen/avida/privatlan
https://www.avidafinance.com/sv/privat/
https://www.sambla.se/partners/avida-finans/
https://www.kreditkoll.nu/kreditgivare/avida
https://finansfreak.se/omdomen/avida-finans/privatlan
https://www.avidafinance.com/sv/privatlan
https://enklare.se/partners/avida/
https://www.avidafinance.com/
https://www.konsumentguiden.se/lana-pengar/privatlan/avida-privatlan/
https://www.payup.se/lan/avida/
https://xn--privatlnlistan-rib.se/privatlan/avida-finans/</t>
  </si>
  <si>
    <t>(Claude exposes cited URLs and
snippets from web_search results.)</t>
  </si>
  <si>
    <t>Nominal interest rate range is 5.90%–19.79% (individuellt satt, rörlig ränta); effective APR (effektiv ränta) range is approx. 11.15%–29.50%. Max loan amount was raised from 250,000 SEK to 350,000 SEK</t>
  </si>
  <si>
    <t>Anthropic Claude Sonnet 4.6 + web_search_20250305</t>
  </si>
  <si>
    <t>Bjursås Sparbank</t>
  </si>
  <si>
    <t>https://www.bjursassparbank.se/privat/privatlan-och-krediter1/privatlandirekt-ansok.html</t>
  </si>
  <si>
    <t>6.20%</t>
  </si>
  <si>
    <t>16.34%</t>
  </si>
  <si>
    <t>500000</t>
  </si>
  <si>
    <t>20000</t>
  </si>
  <si>
    <t>18</t>
  </si>
  <si>
    <t>12 år</t>
  </si>
  <si>
    <t>https://www.bjursassparbank.se/privat/rantor-priser-och-kurser/lanetjanster.html
https://lexly.se/partners/bjursas-sparbank
https://www.bjursassparbank.se/
https://www.riksgalden.se/var-verksamhet/insattningsgarantin-och-investerarskyddet/sok-anslutna-banker-och-institut/kontoslag-som-omfattas/Bjursas-Sparbank/
https://www.bjursassparbank.se/privat.html
https://www.bjursassparbank.se/privat/rantor-priser-och-kurser/spar-och-placeringstjanster.html
https://www.bjursassparbank.se/privat/boende-och-bolan/ansok-om-lanelofte.html
https://www.bjursassparbank.se/privat/kort/sa-anvander-du-ditt-kort/kort-pa-resan/valutavaxling-vid-kortkop-utomlands/efter-ett-kop.html
https://www.bjursassparbank.se/privat/privatlan-och-krediter1/privatlandirekt-ansok.html
https://se.linkedin.com/company/bjurs%C3%A5s-sparbank
https://www.bjursassparbank.se/
https://www.bjursassparbank.se/kontakta-oss/besok-oss.html
https://www.bjursassparbank.se/kontakta-oss.html
https://www.riksgalden.se/en/our-operations/deposit-insurance/search-for-member-institutions/account-types-covered-by-the-insurance/Bjursas-Sparbank/
https://se.linkedin.com/company/bjurs%C3%A5s-sparbank
https://www.facebook.com/bjursassparbank/?locale=sv_SE
https://www.bjursassparbank.se/privat/bli-kund.html
https://sparbankerna.se/om-sparbankerna/hitta-din-sparbank.html
https://lexly.se/partners/bjursas-sparbank
https://sv.wikipedia.org/wiki/Bjurs%C3%A5s_Sparbank
https://www.bjursassparbank.se/privat/boende-och-bolan/bolanerantor.html
https://www.bjursassparbank.se/privat/privatlan-och-krediter1/medlemslan.html
https://www.bjursassparbank.se/privat/privatlan-och-krediter1/privatlandirekt-ansok.html
https://www.bjursassparbank.se/privat/rantor-priser-och-kurser/lanetjanster.html
https://www.bjursassparbank.se/privat/boende-och-bolan.html
https://www.bjursassparbank.se/privat/boende-och-bolan/rakna-pa-ditt-bolan.html
https://www.bjursassparbank.se/privat.html
https://www.bjursassparbank.se/privat/boende-och-bolan/andra-ditt-bolan.html
https://www.bjursassparbank.se/privat/rantor-priser-och-kurser/spar-och-placeringstjanster.html
https://www.bjursassparbank.se/</t>
  </si>
  <si>
    <t>Privatlån utan säkerhet (unsecured). Rörlig ränta, individuellt bestämd inom räntespannet 6,20–16,34% (senast ändrad 2025-02-07). Räkneexempel: 100 000 kr, 7,98% nominell ränta, 5 års återbetalningsti</t>
  </si>
  <si>
    <t>Brixo AB</t>
  </si>
  <si>
    <t>https://brixo.se/privatlan/</t>
  </si>
  <si>
    <t>22.80%</t>
  </si>
  <si>
    <t>24.30%</t>
  </si>
  <si>
    <t>150000</t>
  </si>
  <si>
    <t>5000</t>
  </si>
  <si>
    <t>21</t>
  </si>
  <si>
    <t>https://thebanks.eu/banks/19683
https://brixo.se/
https://brixo.se/vara-villkor/
https://brixo.se/vanliga-fragor/
https://brixo-ab.wheree.com/
https://www.crunchbase.com/organization/brixo-fbeb
https://brixo.se/privatlan-new/
https://www.zoominfo.com/c/brixo-ab/535427794
https://www.riksgalden.se/en/our-operations/deposit-insurance/search-for-member-institutions/account-types-covered-by-the-insurance/brixo-ab/
https://rivalsense.co/intel/brixo/
https://brixo.se/
https://www.kreditkoll.nu/kreditgivare/brixo
https://www.riksgalden.se/sv/var-verksamhet/insattningsgarantin-och-investerarskyddet/sok-anslutna-banker-och-institut/kontoslag-som-omfattas/brixo-ab/
https://smslansnabb.se/brixo-logga-in
https://finansvalp.se/omdomen/brixo
https://brixo.se/kredit/kontokredit/
https://www.xn--lnen-qoa.se/brixo/
https://www.mystep.se/kreditgivare/brixo
https://finansvalp.se/omdomen/brixo/privatlan
https://bank.se/snabblan/brixo/
https://brixo.se/
https://brixo.se/privatlan/
https://brixo.se/privatlan-new/
https://brixo.se/privatlan/omstartslan/
https://brixo.se/privatlan/blancolan/
https://brixo.se/lana-pengar/snabblan/
https://brixo.se/privatlan/samla-lan/
https://brixo.se/lana-pengar/
https://brixo.se/lana-pengar/online/
https://brixo.se/sparkonto/</t>
  </si>
  <si>
    <t>Brixo AB erbjuder två konsumentlåneprodukter: (1) Kontokredit: 5 000–50 000 kr, nominell rörlig ränta 21,95%, effektiv ränta 24,3%, inga avgifter, obestämd löptid, minsta återbetalning 4% av uteståend</t>
  </si>
  <si>
    <t>Brocc Finance AB</t>
  </si>
  <si>
    <t>https://brocc.se/lana/</t>
  </si>
  <si>
    <t>5.76%</t>
  </si>
  <si>
    <t>29.99%</t>
  </si>
  <si>
    <t>400000</t>
  </si>
  <si>
    <t>https://thebanks.eu/banks/17627
https://crowdinform.com/en/crowdfunding-platforms/brocc
https://www.crunchbase.com/organization/brocc
https://thebanks.eu/banks/18763
https://thecrowdspace.com/platform/brocc/
https://play.google.com/store/apps/details?id=com.broccfinanceab.brocc&amp;hl=en
https://www.p2ug.com/brocc/
https://www.prnewswire.com/news-releases/cerberus-acquires-brocc-finance-to-support-growth-and-strategic-expansion-into-european-npl-asset-management-302599740.html
https://www.riksgalden.se/en/our-operations/deposit-insurance/search-for-member-institutions/account-types-covered-by-the-insurance/GCC-Capital-AB/
https://pitchbook.com/profiles/company/226331-83
https://broccfinance.com/
https://www.bloomberg.com/profile/company/0920971D:SS
https://thecrowdspace.com/platform/brocc/
https://www.crunchbase.com/organization/brocc
https://www.linkedin.com/company/brocc
https://play.google.com/store/apps/details?id=com.broccfinanceab.brocc&amp;hl=en
https://thebanks.eu/banks/18763
https://thebanks.eu/banks/17627
https://www.riksgalden.se/en/our-operations/deposit-insurance/search-for-member-institutions/account-types-covered-by-the-insurance/GCC-Capital-AB/
https://www.prnewswire.com/news-releases/cerberus-acquires-brocc-finance-to-support-growth-and-strategic-expansion-into-european-npl-asset-management-302599740.html
https://brocc.se/
https://brocc.se/lana/
https://advisa.se/langivare/brocc/
https://cdn.brocc.se/fragor-and-svar/
https://www.sambla.se/partners/brocc/
https://enklare.se/partners/brocc/
https://trygga.com/lana-pengar/langivare/brocc/
https://www.ordnabolan.se/privatlan/omdome/brocc/
https://brocc.se/avgifter-och-kostnader/
https://www.kreditkoll.nu/kreditgivare/brocc</t>
  </si>
  <si>
    <t>Nominell ränta: 7.50%–23.00% (individuellt satt, rörlig). Maximal effektiv ränta (APR): 29.99% per Brocc Finance AB:s officiella app-information (Google Play). Låntagaren måste vara minst 20 år, folkb</t>
  </si>
  <si>
    <t>Credento Bank AB</t>
  </si>
  <si>
    <t>https://credento.se/</t>
  </si>
  <si>
    <t>14.82%</t>
  </si>
  <si>
    <t>29.27%</t>
  </si>
  <si>
    <t>100000</t>
  </si>
  <si>
    <t>1000</t>
  </si>
  <si>
    <t>25</t>
  </si>
  <si>
    <t>12 years</t>
  </si>
  <si>
    <t>https://trygga.com/lana-pengar/langivare/credento/
https://view.news.eu.nasdaq.com/view?id=b5493b6011ebf5002d1898cf0c6202a8f&amp;lang=en
https://www.kreditkoll.nu/kreditgivare/credento
https://news.cision.com/tf-bank-ab--publ-/r/tf-bank-s-swedish-subsidiary-has-been-granted-a-license-to-operate-as-a-deposit-taking-financial-ins,c4076645
https://credento.se/
https://www.fi.se/en/bank/apply-for-authorisation/konsumentkreditinstitut/
https://ensun.io/search/personal-loan/sweden
https://practiceguides.chambers.com/practice-guides/banking-finance-2024/sweden/trends-and-developments
https://loanssweden.se/
https://www.lendo.group/lendo-sweden/
https://credento.se/om-oss
https://credento.se/
https://www.credigo.se/
https://credento.se/kundkannedom
https://trygga.com/lana-pengar/langivare/credento/
https://www.kreditkoll.nu/kreditgivare/credento
https://www.lanekoll.se/partners/credento
https://www.zmarta.se/lana-pengar/langivare/credento
https://tfbank.se/
https://xn--lnero-mra.se/langivare/credento/</t>
  </si>
  <si>
    <t>Credento is a brand of TF Bank AB (org. nr registered with Finansinspektionen since 2012, Nasdaq Stockholm listed). Loans are unsecured (blancolån/privatlån) with no collateral required. Nominal inter</t>
  </si>
  <si>
    <t>Facit Bank Filial</t>
  </si>
  <si>
    <t>https://facitbank.se/</t>
  </si>
  <si>
    <t>9.82%</t>
  </si>
  <si>
    <t>18.91%</t>
  </si>
  <si>
    <t>250000</t>
  </si>
  <si>
    <t>https://trygga.com/lana-pengar/langivare/facit-bank/
https://www.mystep.se/kreditgivare/facitbank
https://www.payup.se/lan/facit-bank/
https://kreditium.se/loans/facit-bank/
https://www.kreditkoll.nu/kreditgivare/facit-bank
https://www.xn--lnen-qoa.se/facit-bank/
https://xn--svenskaprivatln-ulb.se/facit-bank/
https://facitbank.se/kundservice/
https://testzone-v2.facitbank.se/om-os/
https://facitbank.se/
https://facitbank.se/
https://thebanks.eu/banks/19506
https://www.kreditkoll.nu/kreditgivare/facit-bank
https://www.sdc.dk/en/sdc/kunder/cases/case---facit-bank
https://www.mystep.se/kreditgivare/facitbank
https://www.allabolag.se/5164061193/facit-bank-filial
https://www.dnb.com/business-directory/company-profiles.facit_bank_filial.9a869c2a2da1b1d8fb5ae9c1c30d2f62.html
https://trygga.com/lana-pengar/langivare/facit-bank/
https://www.merinfo.se/foretag/Facit-Bank-Filial-5164061193/2dejr49-25wpf
https://www.riksbank.se/en-gb/markets/interest-free-deposits-deposit-requirement/for-credit-institutions-subject-to-the-deposit-requirement/list-of-credit-institutions/
https://www.regeringen.se/pressmeddelanden/2025/05/nya-hogre-krav-for-att-fa-ge-konsumentlan/
https://trygga.com/lana-pengar/langivare/facit-bank/
https://www.mystep.se/kreditgivare/facitbank
https://omprivatekonomi.se/artiklar/omprivatekonomi-kreditkort
https://kreditium.se/loans/facit-bank/
https://testzone-v2.facitbank.se/om-os/
https://www.xn--lnen-qoa.se/facit-bank/
https://finansvalp.se/forklarar/lagar-och-regler-for-konsumtionslan
https://normalaw.se/2025/04/03/nya-regler-i-konsumentkreditlagen-fr-o-m-1-mars-2025/
https://www.konsumentverket.se/aktuellt/nya-bestammelser-med-en-sarskild-upplysning-for-lan/</t>
  </si>
  <si>
    <t>Facit Bank Filial är en filial av den danska banken Facit Bank A/S, registrerad i Sverige (org.nr 516406-1193, Solna) och står under Finansinspektionens tillsyn. Banken erbjuder två produkter: (1) Kon</t>
  </si>
  <si>
    <t>Falkenbergs Sparbank AB</t>
  </si>
  <si>
    <t>https://www.falkenbergssparbank.se/privat/privatlan-och-krediter/privatlandirekt-ansok.html</t>
  </si>
  <si>
    <t>8.82%</t>
  </si>
  <si>
    <t>16.84%</t>
  </si>
  <si>
    <t>not publicly disclosed on product page</t>
  </si>
  <si>
    <t>https://www.falkenbergssparbank.se/privat/spara-och-placera/aktier-och-andra-placeringar/strukturerade-produkter/kurser-och-slutliga-villkor/slutliga-villkor-bevis.html
https://www.falkenbergssparbank.se/privat/rantor-priser-och-kurser/spar-och-placeringstjanster.html
https://www.falkenbergssparbank.se/privat/boende-och-bolan/ansok-om-lanelofte.html
https://www.falkenbergssparbank.se/privat/rantor-priser-och-kurser/betalningstjanster.html
https://www.falkenbergssparbank.se/privat/boende-och-bolan/rakna-pa-ditt-bolan.html
https://www.falkenbergssparbank.se/privat/boende-och-bolan/ansok-om-bolan.html
https://www.falkenbergssparbank.se/foretag/digitala-tjanster/internetbanken-foretag/digitala-dokument/uppdaterade-villkor.html
https://www.falkenbergssparbank.se/privat/boende-och-bolan/bolanerantor.html
https://www.allabolag.se/foretag/falkenbergs-sparbank-ab/falkenberg/banker/2DEJR6SI5YCM3
https://www.falkenbergssparbank.se/privat/boende-och-bolan/bolan-for-olika-behov/bolan.html
https://www.falkenbergssparbank.se/
https://www.riksgalden.se/en/our-operations/deposit-insurance/search-for-member-institutions/account-types-covered-by-the-insurance/falkenbergs-sparbank-ab/
https://www.allabolag.se/foretag/falkenbergs-sparbank-ab/falkenberg/banker/2DEJR6SI5YCM3
https://www.sparbanken.se/om-oss.html
https://www.nib.int/loan/falkenbergs-sparbank-22719
https://se.linkedin.com/company/falkenbergs-sparbank
https://www.falkenbergssparbank.se/sitemap.html
https://thebanks.eu/banks/17535
https://www.facebook.com/FalkenbergsSparbank/?locale=sv_SE
https://www.crunchbase.com/organization/falkenbergs-sparbank
https://www.falkenbergssparbank.se/privat/privatlan-och-krediter/privatlandirekt-ansok.html
https://www.falkenbergssparbank.se/privat/boende-och-bolan/rakna-pa-ditt-bolan.html
https://www.falkenbergssparbank.se/privat/privatlan-och-krediter/lana-till-bil/billan.html
https://www.falkenbergssparbank.se/privat/spara-och-placera/sparkonton/fastrantekonto.html
https://www.falkenbergssparbank.se/privat/boende-och-bolan.html
https://www.falkenbergssparbank.se/privat/boende-och-bolan/bolanerantor.html
https://www.falkenbergssparbank.se/privat/erbjudanden/
https://www.falkenbergssparbank.se/privat/privatlan-och-krediter/medlemslan.html
https://falkenbergssparbank.se/privat/boende-och-bolan/rakna-pa-ditt-bolan/rorlig-eller-bunden-ranta.html
https://www.falkenbergssparbank.se/privat/privatlan-och-krediter/lana-till-bil/gront-billan.html
https://www.falkenbergssparbank.se/privat/privatlan-och-krediter/privatlandirekt-ansok.html
https://www.falkenbergssparbank.se/privat/boende-och-bolan/bolan-for-olika-behov/handpenningslan.html
https://www.falkenbergssparbank.se/privat/boende-och-bolan/ansok-om-lanelofte.html
https://www.falkenbergssparbank.se/privat/boende-och-bolan.html
https://www.falkenbergssparbank.se/privat/privatlan-och-krediter/lana-till-bil/gront-billan.html
https://www.falkenbergssparbank.se/privat/boende-och-bolan/rakna-pa-ditt-bolan.html
https://www.falkenbergssparbank.se/privat/boende-och-bolan/bolanerantor.html
https://www.falkenbergssparbank.se/privat/privatlan-och-krediter/medlemslan.html
https://www.falkenbergssparbank.se/privat/privatlan-och-krediter/lana-till-bil/billan.html
https://www.falkenbergssparbank.se/privat/rantor-priser-och-kurser/spar-och-placeringstjanster.html</t>
  </si>
  <si>
    <t>Variable (rörlig) interest rate, last changed 2024-11-15. Representative example: SEK 100,000 loan at 8.48% nominal rate, 5-year straight-line amortisation, gives effective APR of 8.96% (8.82% for Nyc</t>
  </si>
  <si>
    <t>Högsby Sparbank</t>
  </si>
  <si>
    <t>https://www.hogsbysparbank.se/privat/privatlan-och-krediter/privatlandirekt-ansok.html</t>
  </si>
  <si>
    <t>8.01%</t>
  </si>
  <si>
    <t>None</t>
  </si>
  <si>
    <t>https://www.hogsbysparbank.se/privat/privatlan-och-krediter/privatlandirekt-ansok.html
https://www.bank24.se/konsumentkredit/
https://www.hogsbysparbank.se/privat/rantor-priser-och-kurser/betalningstjanster.html
https://advisa.se/langivare/konsumentkredit/
https://www.hogsbysparbank.se/privat/boende-och-bolan/allmanna-kreditvillkor-swedbank-hypotek.html
https://www.kreditkoll.nu/kreditgivare/konsumentkredit
https://www.hogsbysparbank.se/privat/kort/kreditkort/kreditkort-mastercard.html
https://www.hogsbysparbank.se/
https://www.ordnabolan.se/privatlan/omdome/konsumentkredit/
https://moneezy.se/konsumentkredit/
https://www.hogsbysparbank.se/
https://www.hogsbysparbank.se/privat/digitala-tjanster/kundcenter-privat.html
https://www.hogsbysparbank.se/privat/digitala-tjanster/internetbanken.html
https://thebanks.eu/banks/17546
https://se.linkedin.com/company/h-gsby-sparbank
https://www.hogsbysparbank.se/om-oss.html
https://www.crunchbase.com/organization/hogsby-sparbank
https://www.hogsbysparbank.se/privat/betala-och-overfora/konton.html
https://www.hogsbysparbank.se/om-oss/kontakta-oss.html
https://www.hogsbysparbank.se/privat/digitala-tjanster/mobilt-bankid.html
https://www.hogsbysparbank.se/privat/privatlan-och-krediter/privatlandirekt-ansok.html
https://www.hogsbysparbank.se/privat/boende-och-bolan/rakna-pa-ditt-bolan.html
https://www.hogsbysparbank.se/privat/boende-och-bolan/bolanerantor.html
https://www.hogsbysparbank.se/privat/privatlan-och-krediter/lana-till-bil/billan.html
https://www.hogsbysparbank.se/privat/rantor-priser-och-kurser/spar-och-placeringstjanster.html
https://www.sparbankenskane.se/privat/rantor-priser-och-kurser/lanetjanster.html
https://www.sparbankennord.se/privat/rantor-priser-och-kurser/lanetjanster.html
https://www.hogsbysparbank.se/privat/rantor-priser-och-kurser/rantor.html
https://www.konsumentguiden.se/lana-pengar/privatlan/swedbank-privatlan/
https://www.sparbankenskane.se/privat/erbjudanden.html</t>
  </si>
  <si>
    <t>Rate is variable and set individually based on borrower's financial profile. Nominal interest rate span: 6.20%–16.34% (last changed 2025-10-22). Representative example: SEK 100,000 at 7.73% nominal ra</t>
  </si>
  <si>
    <t>ICA Banken AB</t>
  </si>
  <si>
    <t>https://www.icabanken.se/lana/privatlan/</t>
  </si>
  <si>
    <t>6.00%</t>
  </si>
  <si>
    <t>17.17%</t>
  </si>
  <si>
    <t>600000</t>
  </si>
  <si>
    <t xml:space="preserve">15 år </t>
  </si>
  <si>
    <t>https://www.mystep.se/kreditgivare/icabanken
https://www.kreditkoll.nu/kreditgivare/icabanken
https://www.icabanken.se/lana/privatlan/
https://www.icabanken.se/
https://www.payup.se/lan/ica-banken/
https://finansvalp.se/omdomen/ica-banken/privatlan
https://www.xn--lnen-qoa.se/icabanken/
https://www.sambla.se/partners/ica-banken/
https://www.hittalanet.se/privatlan/ica-bankens-privatlan
https://www.hittalanet.se/langivare/ica-banken
https://www.icabanken.se/lana/
https://www.icabanken.se/
https://www.icabanken.se/lana/privatlan/
https://trygga.com/lana-pengar/langivare/ica-banken/
https://www.icabanken.se/lana/bolan/bolanerantor/
https://www.ica.bank.se/
https://www.sambla.se/partners/ica-banken/
https://www.icabanken.se/lana/bolan/
https://www.icabanken.se/lana/blancolan/
https://www.icabanken.se/lana/samla-lan/</t>
  </si>
  <si>
    <t>Räntan är rörlig och sätts individuellt baserat på kreditprövning via UC. Nominell ränta: 5,84–15,95%; effektiv ränta: 6,00–17,17% (per 2026-04-02). Lånet är ett annuitetslån utan säkerhet (blancolån)</t>
  </si>
  <si>
    <t>Ikano Bank AB</t>
  </si>
  <si>
    <t>https://ikanobank.se/lana-pengar/privatlan</t>
  </si>
  <si>
    <t>6.75%</t>
  </si>
  <si>
    <t>18.56%</t>
  </si>
  <si>
    <t xml:space="preserve">12 år </t>
  </si>
  <si>
    <t>https://ikanobank.se/
https://konsumentkredit.se/vanliga-fragor-och-svar/
https://konsumentkredit.se/
https://advisa.se/langivare/konsumentkredit/
https://www.sambla.se/partners/konsumentkredit/
https://konsumentkredit.se/laneskydd/
https://ikea.finansiering.bank.ikano/-/media/se/documents/allmnna-villkor-och-sekki-ikea-ln-2024-03-06.ashx?la=sv-se&amp;hash=3458DC1C98704D99F6B57CF4F94A454E19EAEAF4
https://ikanobank.se/lana-pengar/privatlan
https://www.mystep.se/kreditgivare/ikanobank
https://www.lanekoll.se/partners/ikano
https://ikanobank.se/lana-pengar/privatlan
https://ikanobank.se/lana-pengar/privatlan/lana-mer
https://ikanobank.se/
https://ikanobank.se/bolan
https://ikanobank.se/lana-pengar
https://ikanobank.se/lana-pengar/banklan
https://ikanobank.se/lana-pengar/jamfor-ratt
https://ikanobank.se/bolan/bolanekalkylator
https://ikanobank.se/bolan/lana-till-bostad
https://ikanobank.se/bolan/flytta-bolan
https://ikanobank.se/
https://ikanobank.se/lana-pengar/privatlan
https://trygga.com/lana-pengar/langivare/ikano-bank/
https://ikanobank.se/lana-pengar
https://finansvalp.se/omdomen/ikano-bank/privatlan
https://ikanobank.se/bolan/bolanerantor
https://ikanobank.se/bolan/sa-paverkar-rantelaget-ditt-bolan
https://ikanobank.se/kundservice/rantor
https://ikanobank.se/bolan
https://ikanobank.se/lana-pengar/banklan</t>
  </si>
  <si>
    <t>Individuell, rörlig ränta (nominell 6,55–17,15 %, effektiv 6,75–18,56 % per april 2026). Annuitetslån utan säkerhet. Alltid 0 kr i uppläggningsavgift; pappersfakturaavgift 25 kr/mån tillkommer vid val</t>
  </si>
  <si>
    <t>Ivetofta Sparbank i Bromölla</t>
  </si>
  <si>
    <t>https://www.ivetoftasparbank.se/privat/privatlan-och-krediter.html</t>
  </si>
  <si>
    <t>8.15%</t>
  </si>
  <si>
    <t>16.09%</t>
  </si>
  <si>
    <t>12 år (beroende på lånebelopp och syfte)</t>
  </si>
  <si>
    <t>https://www.ivetoftasparbank.se/
https://thebanks.eu/banks/17548
https://www.allabolag.se/foretag/ivetofta-sparbank-i-brom%C3%B6lla/brom%C3%B6lla/finansbolag-finansiella-tj%C3%A4nster/2H0B7W5I5YE9Q
https://issuu.com/insidenr/docs/inside_nr1-21/s/12086619
https://www.facebook.com/p/Ivetofta-Sparbank-61560845727943/
https://www.ivetoftasparbank.se/privat/
https://www.riksgalden.se/var-verksamhet/insattningsgarantin-och-investerarskyddet/sok-anslutna-banker-och-institut/kontoslag-som-omfattas/Ivetofta-Sparbank-/
https://www.hitta.se/ivetofta+sparbank+i+brom%C3%B6lla/brom%C3%B6lla/icoxxfcp
https://www.bromolla.se/sok/?q=sparbank
https://issuu.com/insidenr/docs/inside_juni-22/s/16071812
https://www.ivetoftasparbank.se/
https://www.bromolla.se/sok/?q=sparbank
https://www.facebook.com/p/Ivetofta-Sparbank-61560845727943/
https://www.bromolla.se/fritidscenter/partner-ivetofta-sparbank/
https://thebanks.eu/banks/17548
https://www.ivetoftasparbank.se/om-oss/kontakta-oss.html
https://www.ivetoftasparbank.se/om-oss/kontakta-oss/kontor.html
https://www.ivetoftasparbank.se/om-oss/om-ivetofta-sparbank.html
https://oppettider.net/spots/swedbank-ivetofta-sparbank-i-bromolla-storgatan-ce3edc3236
https://www.riksgalden.se/var-verksamhet/insattningsgarantin-och-investerarskyddet/sok-anslutna-banker-och-institut/kontoslag-som-omfattas/Ivetofta-Sparbank-/
https://www.ivetoftasparbank.se/privat/privatlan-och-krediter/privatlandirekt-ansok.html
https://www.ivetoftasparbank.se/privat/rantor-priser-och-kurser/lanetjanster.html
https://www.ivetoftasparbank.se/privat/privatlan-och-krediter/samla-lanen.html
https://www.ivetoftasparbank.se/
https://www.ivetoftasparbank.se/privat/privatlan-och-krediter/privatlandirekt-ansok/lana-30000.html
https://www.ivetoftasparbank.se/privat/privatlan-och-krediter.html
https://www.ivetoftasparbank.se/privat/boende-och-bolan/rakna-pa-ditt-bolan/ranteskillnadsersattning.html
https://www.ivetoftasparbank.se/privat.html
https://www.ivetoftasparbank.se/privat/boende-och-bolan/rakna-pa-ditt-bolan.html
https://www.ivetoftasparbank.se/privat/privatlan-och-krediter/lana-till-bil/billan.html</t>
  </si>
  <si>
    <t>Räntan är rörlig och sätts individuellt efter kundens ekonomiska förutsättningar (senaste ränteändring 2025-10-03). Uppläggningsavgift 300 kr (0 kr för Nyckelkund). Aviseringsavgift 0 kr vid e-faktura</t>
  </si>
  <si>
    <t>Laholms Sparbank</t>
  </si>
  <si>
    <t>https://www.laholmssparbank.se/privat/privatlan-och-krediter/privatlandirekt-ansok.html</t>
  </si>
  <si>
    <t>5 years (example shown); contact bank for longer terms</t>
  </si>
  <si>
    <t>https://www.laholmssparbank.se/privat/privatlan-och-krediter/privatlandirekt-ansok.html
https://www.laholmssparbank.se/privat/rantor-priser-och-kurser/lanetjanster.html
https://www.laholmssparbank.se/privat/privatlan-och-krediter.html
https://www.laholmssparbank.se
https://www.bank24.se/konsumentkredit/
https://www.laholmssparbank.se/privat/kort/kortvillkor.html
https://www.laholmssparbank.se/privat/en-battre-framtid/spara/sa-kan-du-minska-dina-kostnader-for-konsumtionskrediter.html
https://www.kreditkoll.nu/kreditgivare/konsumentkredit
https://www.laholmssparbank.se/privat/privatlan-och-krediter/medlemslan.html
https://advisa.se/langivare/konsumentkredit/
https://www.laholmssparbank.se
https://www.laholmssparbank.se/privat/digitala-tjanster/kundcenter-privat.html
https://www.laholmssparbank.se/privat/digitala-tjanster/internetbanken/hjalp-att-logga-in.html
https://www.laholmssparbank.se/sitemap.html
https://www.riksgalden.se/sv/var-verksamhet/insattningsgarantin-och-investerarskyddet/sok-anslutna-banker-och-institut/kontoslag-som-omfattas/Laholms-Sparbank/
https://www.laholmssparbank.se/om-oss/kontakta-oss/kontor.html
https://6sense.com/company/laholms-sparbank/5ba614c97c86660d3c70784e
https://www.laholmssparbank.se/privat/boende-och-bolan.html
https://www.creditsafe.com/business-index/en-gb/company/laholms-sparbank-se00530979
https://www.laholmssparbank.se/privat/digitala-tjanster/bankid-dator.html
https://www.laholmssparbank.se/privat/privatlan-och-krediter/privatlandirekt-ansok.html
https://www.laholmssparbank.se/privat/rantor-priser-och-kurser/lanetjanster.html
https://www.laholmssparbank.se/privat/boende-och-bolan/fastighetsbyran-bolaneerbjudande.html
https://www.laholmssparbank.se/privat/privatlan-och-krediter/lana-till-bil/billan.html
https://www.laholmssparbank.se/privat/boende-och-bolan/ansok-om-bolan.html
https://www.laholmssparbank.se/privat/privatlan-och-krediter/lana-till-bil/gront-billan.html
https://www.laholmssparbank.se/privat/boende-och-bolan/rakna-pa-ditt-bolan.html
https://www.leksandssparbank.se/privat/boende-och-bolan/rakna-pa-ditt-bolan.html
https://www.laholmssparbank.se/privat/privatlan-och-krediter/lana-till-andra-fordon-fritidslan/batlan-lana-till-bat.html
https://www.laholmssparbank.se/privat/rantor-priser-och-kurser/betalningstjanster.html</t>
  </si>
  <si>
    <t xml:space="preserve">Variable nominal interest rate range 5.95%–16.09% (last changed 2025-10-03). Example: 100,000 SEK at 7.73% nominal over 5 years = 8.15% effective APR (8.01% for Nyckelkund). Setup fee: 300 SEK (0 SEK </t>
  </si>
  <si>
    <t>Länsförsäkringar Bank Aktiebolag</t>
  </si>
  <si>
    <t>https://www.lansforsakringar.se/privat/bank/lana/privatlan/</t>
  </si>
  <si>
    <t>6.98%</t>
  </si>
  <si>
    <t>19.13%</t>
  </si>
  <si>
    <t>15 år</t>
  </si>
  <si>
    <t>https://www.kreditkoll.nu/kreditgivare/lansforsakringar
https://finansklubben.se/ekonomi/banker-lan/lana-till-kontantinsats/lana-till-kontantinsats-regler-och-banker-2025/
https://www.ekonomifokus.se/bostad/lan/lansforsakringar-bank
https://www.lansforsakringar.se/privat/bank/lana/privatlan/
https://www.konsumentguiden.se/lana-pengar/privatlan/lansforsakringar-bank-privatlan/
https://www.lansforsakringar.se/privat/bank/lana/
https://www.kapitalkoll.se/blog/guide-till-lansforsakringars-bolan-rantor-och-villkor-2024
https://xn--privatlnlistan-rib.se/privatlan/lansforsakringar-bank-privatlan/
https://www.lansforsakringar.se/privat/bank/lana/billan/
https://www.mystep.se/kreditgivare/lansforsakringar
https://www.lansforsakringar.se/privat/bank/spara/alla-konton-for-sparande/fastrantekonto/
https://www.lanekoll.se/bolan/lansforsakringar
https://xn--privatlnlistan-rib.se/privatlan/lansforsakringar-bank-privatlan/
https://finansfreak.se/omdomen/lansforsakringar/bolan
https://www.mystep.se/lansforsakringar-utbetalning-direkt
https://www.lansforsakringar.se/privat/bank/lana/privatlan/
https://xn--snittrnta-02a.se/l%C3%A4nsf%C3%B6rs%C3%A4kringar/
https://www.kreditkoll.nu/kreditgivare/lansforsakringar
https://www.mystep.se/kreditgivare/lansforsakringar
https://www.ekonomifokus.se/bostad/lan/lansforsakringar-bank</t>
  </si>
  <si>
    <t>Privatlånet (Direktlånet) erbjuds i samarbete med Wasa Kredit / LF Finans och är ett blancolån utan säkerhet. Nominell ränta är för närvarande 6,75–13,45 % (per 2025-06-12); effektiv ränta uppges vara</t>
  </si>
  <si>
    <t>Länsförsäkringar Finans AB</t>
  </si>
  <si>
    <t>https://www.lffinans.se/privat/lana/privatlan/</t>
  </si>
  <si>
    <t>8.25%</t>
  </si>
  <si>
    <t>6.95%</t>
  </si>
  <si>
    <t>30000</t>
  </si>
  <si>
    <t>https://www.lansforsakringar.se/privat/bank/lana/
https://www.ekonomifokus.se/bostad/lan/lansforsakringar-bank
https://www.lansforsakringar.se/privat/bank/lana/privatlan/
https://www.lffinans.se/
https://www.sambla.se/partners/lf-finans/
https://www.mystep.se/kreditgivare/lansforsakringar
https://www.lansforsakringar.se/privat/
https://www.lanekoll.se/bolan/lansforsakringar
https://www.payup.se/lan/lf-finans/
https://www.lansforsakringar.se/privat/forsakring/forsakringsvillkor/
https://thebanks.eu/banks/17675
https://www.allabolag.se/foretag/l%C3%A4nsf%C3%B6rs%C3%A4kringar-finans-ab/stockholm/finansbolag-finansiella-tj%C3%A4nster/2K04Y90I5YE9Q
https://www.lffinans.se/
https://www.lansforsakringar.se/privat/om-oss/finansiellt/lansforsakringar-bank-ab/
https://thebanks.eu/banks/17555
https://www.fi.se/sv/vara-register/prospektregistret/GetFile/?id=20-24137&amp;format=application/pdf&amp;name=20-24137.pdf
https://secure246.lansforsakringar.se/nim/
https://www.fi.se/en/our-registers/prospektregistret/GetFile?id=25-26729&amp;format=application/pdf&amp;name=25-26729.pdf
https://www.ekonomifokus.se/bostad/lan/lansforsakringar-bank
https://en.wikipedia.org/wiki/L%C3%A4nsf%C3%B6rs%C3%A4kringar
https://www.lffinans.se/produktinformation/direktlan/mer-om-rante/
https://www.lffinans.se/om-oss/nyheter/2026/rantebeskedet-2025/
https://www.lffinans.se/
https://www.mystep.se/kreditgivare/lffinans
https://www.lffinans.se/privat/laneskola/ranta-och-avgifter-pa-lan/
https://www.lffinans.se/privat/lana/privatlan/
https://www.lffinans.se/privat/lana/privatlan/lanekalkyl/
https://finansvalp.se/omdomen/lf-finans/privatlan
https://www.payup.se/lan/lf-finans/
https://www.lffinans.se/produktinformation/appen/dela-upp---rantor-och-avgifter/</t>
  </si>
  <si>
    <t>Länsförsäkringar Finans AB (formerly Wasa Kredit AB) rebranded to LF Finans in May 2025 and is a wholly owned subsidiary of Länsförsäkringar Bank AB. The product is an unsecured consumer instalment lo</t>
  </si>
  <si>
    <t>Lekebergs Sparbank</t>
  </si>
  <si>
    <t>https://www.lekebergssparbank.se/privat/privatlan-och-krediter/privatlandirekt-ansok.html</t>
  </si>
  <si>
    <t>https://www.lekebergssparbank.se/privat/privatlan-och-krediter/privatlandirekt-ansok.html
https://www.lekebergssparbank.se/privat/kort/kortvillkor.html
https://www.lekebergssparbank.se/
https://www.lekebergssparbank.se/privat/spara-och-placera/mifid/avtal-och-allmanna-villkor/avtal-och-allmanna-villkor-kunder-i-sverige.html
https://www.lekebergssparbank.se/privat/privatlan-och-krediter/samla-lanen.html
https://www.lekebergssparbank.se/privat/privatlan-och-krediter/medlemslan.html
https://www.lekebergssparbank.se/privat/boende-och-bolan/rakna-pa-ditt-bolan/rorlig-eller-bunden-ranta.html
https://www.lekebergssparbank.se/privat/rantor-priser-och-kurser/betalningstjanster.html
https://www.lekebergssparbank.se/privat/digitala-tjanster/digital-post/uppdaterade-villkor.html
https://www.bank24.se/konsumentkredit/
https://www.lekebergssparbank.se/
https://www.riksgalden.se/en/our-operations/deposit-insurance/search-for-member-institutions/account-types-covered-by-the-insurance/Lekebergs-Sparbank/
https://thebanks.eu/banks/17552
https://www.zoominfo.com/c/lekebergs-sparbank/467963808
https://www.linkedin.com/company/lekebergs-sparbank
https://www.facebook.com/Lekebergssparbank/?locale=sv_SE
https://www.allabolag.se/foretag/lekebergs-sparbank/fjugesta/banker/2N3EVOBI5YCM3
https://www.sparbanken.se/om-oss.html
https://www.hitta.se/lekebergs+sparbank/fjugesta/lsefnvim
https://rocketreach.co/lekebergs-sparbank-profile_b432abcec1f71951
https://www.lekebergssparbank.se/privat/privatlan-och-krediter/privatlandirekt-ansok.html
https://www.lekebergssparbank.se/privat/boende-och-bolan/ansok-om-lanelofte.html
https://www.lekebergssparbank.se/privat/boende-och-bolan/ansok-om-bolan.html
https://www.lekebergssparbank.se/
https://www.lekebergssparbank.se/privat/boende-och-bolan/rakna-pa-ditt-bolan.html
https://www.lekebergssparbank.se/privat/rantor-priser-och-kurser/spar-och-placeringstjanster.html
https://www.lekebergssparbank.se/privat/boende-och-bolan/bolan-for-olika-behov/bolan-lo-medlemmar.html
https://www.lekebergssparbank.se/privat/boende-och-bolan/flytta-ditt-bolan-till-oss.html
https://www.lekebergssparbank.se/privat/privatlan-och-krediter/privatlandirekt-ansok/lana-30000.html
https://www.lekebergssparbank.se/privat/boende-och-bolan.html</t>
  </si>
  <si>
    <t>Variable (rörlig) interest rate set individually based on borrower's financial circumstances. Setup fee (uppläggningsavgift) is 300 SEK (waived for Nyckelkund/key customers). No avisering (billing) fe</t>
  </si>
  <si>
    <t>Lönneberga-Tuna-Vena Sparbank</t>
  </si>
  <si>
    <t>https://www.ltvsparbank.se/privat/privatlan-och-krediter/privatlandirekt-ansok.html</t>
  </si>
  <si>
    <t>8.56%</t>
  </si>
  <si>
    <t>16.30%</t>
  </si>
  <si>
    <t>https://www.ltvsparbank.se/
https://www.ltvsparbank.se/kontakta-oss.html
https://www.ltvsparbank.se/privat.html
https://www.allabolag.se/foretag/l%C3%B6nneberga-tuna-vena-sparbank/vena/finansbolag-finansiella-tj%C3%A4nster/2G6JDJ9I5YE9Q
https://thebanks.eu/banks/17639
https://www.ltvsparbank.se/privat/kort/kortvillkor.html
https://www.ltvsparbank.se/om-oss.html
https://www.riksgalden.se/en/our-operations/deposit-insurance/search-for-member-institutions/account-types-covered-by-the-insurance/Lonneberga-Tuna-Vena-Sparbank/
https://www.ltvsparbank.se/privat/spara-och-placera/sparkonton.html
https://www.bolagsfakta.se/5332005189-Lonneberga_Tuna_Vena_Sparbank
https://www.ltvsparbank.se/
https://thebanks.eu/banks/17639
https://www.ltvsparbank.se/kontakta-oss/personal.html
https://www.ltvsparbank.se/om-oss/oppettider.html
https://www.ltvsparbank.se/kontakta-oss/kontor.html
https://www.riksgalden.se/en/our-operations/deposit-insurance/search-for-member-institutions/account-types-covered-by-the-insurance/Lonneberga-Tuna-Vena-Sparbank/
https://www.hitta.se/l%C3%B6nneberga+tuna+vena+sparbank/silverdalen/ntbecgud
https://www.hitta.se/l%C3%B6nneberga+tuna+vena+sparbank/vena/muuejapt
https://www.facebook.com/LTVsparbank/
https://www.ltvsparbank.se/privat/digitala-tjanster/internetbanken/hjalp-att-logga-in.html
https://www.ltvsparbank.se/privat/rantor-priser-och-kurser/lanetjanster.html
https://www.ltvsparbank.se/privat/privatlan-och-krediter/privatlandirekt-ansok.html
https://www.lsb.se/privatlan
https://www.ltvsparbank.se/privat/kort/tillaggstjanster/kortkredit.html
https://www.lsb.se/lana-pengar
https://www.ltvsparbank.se/privat/privatlan-och-krediter.html
https://xn--lnefrmedlarguiden-8qb04a.se/lan-spar-bank/
https://enklare.se/partners/lan-spar-bank/
https://www.sambla.se/partners/lan-och-spar-bank/
https://www.ltvsparbank.se/privat/rantor-priser-och-kurser/betalningstjanster.html</t>
  </si>
  <si>
    <t xml:space="preserve">Product is called 'PrivatlånDirekt' (unsecured personal loan / blancolån). Nominal interest rate is variable (rörlig) at 7.98% as of 2025-02-19, with a rate span of 6.40%–15.10%; effective APR in the </t>
  </si>
  <si>
    <t>Markaryds Sparbank</t>
  </si>
  <si>
    <t>https://www.markarydssparbank.se/privat/privatlan-och-krediter/privatlandirekt-ansok.html</t>
  </si>
  <si>
    <t>8.96%</t>
  </si>
  <si>
    <t>https://www.markarydssparbank.se/
https://www.riksgalden.se/var-verksamhet/insattningsgarantin-och-investerarskyddet/sok-anslutna-banker-och-institut/kontoslag-som-omfattas/Markaryds-Sparbank/
https://www.markarydssparbank.se/sitemap.html
https://www.markarydssparbank.se/privat/privatlan-och-krediter/privatlandirekt-ansok.html
https://www.markarydssparbank.se/privat/rantor-priser-och-kurser/lanetjanster.html
https://www.markarydssparbank.se/privat/digitala-tjanster.html
https://thebanks.eu/banks/17557
https://www.markarydssparbank.se/privat/betala-och-overfora.html
https://se.linkedin.com/company/markaryds-sparbank
https://www.markarydssparbank.se/privat/digitala-tjanster/kundcenter-privat.html
https://www.markarydssparbank.se/
https://thebanks.eu/banks/17557
https://www.riksgalden.se/en/our-operations/deposit-insurance/search-for-member-institutions/account-types-covered-by-the-insurance/Markaryds-Sparbank/
https://www.crunchbase.com/organization/markaryds-sparbank
https://www.facebook.com/p/Markaryds-Sparbank-100052188374865/
https://www.markarydssparbank.se/privat/digitala-tjanster/internetbanken/help-to-log-in.html
https://www.zoominfo.com/c/markaryds-sparbank/431421308
https://www.ampliz.com/company/markaryds-sparbank/100935857
https://oppettider.net/spots/swedbank-s-sparbank-markaryd-drottninggatan-0058d54289
https://6sense.com/company/markaryds-sparbank/5ba618447c86660d3c746b34
https://www.markarydssparbank.se/privat/privatlan-och-krediter/privatlandirekt-ansok.html
https://www.markarydssparbank.se/privat/privatlan-och-krediter/medlemslan.html
https://www.markarydssparbank.se/privat/rantor-priser-och-kurser/lanetjanster.html
https://www.markarydssparbank.se/privat/boende-och-bolan/bolan-for-olika-behov/rantebegrepp.html
https://www.markarydssparbank.se/privat/rantor-priser-och-kurser/rantor.html
https://www.markarydssparbank.se/privat/spara-och-placera/sparkonton/fastrantekonto.html
https://www.markarydssparbank.se/privat/rantor-priser-och-kurser/betalningstjanster.html
https://www.markarydssparbank.se/privat/rantor-priser-och-kurser.html
https://www.markarydssparbank.se/
https://www.sparbankenskane.se/privat/rantor-priser-och-kurser/lanetjanster.html</t>
  </si>
  <si>
    <t>Loan is unsecured (utan säkerhet). Nominal interest rate is variable and set individually within the band 6.70%–16.84% (last changed 2024-11-15). Setup fee (uppläggningsavgift) is 600 SEK (0 SEK for N</t>
  </si>
  <si>
    <t>Moank AB</t>
  </si>
  <si>
    <t>https://www.moank.se/</t>
  </si>
  <si>
    <t>8.20%</t>
  </si>
  <si>
    <t>27.22%</t>
  </si>
  <si>
    <t>25000</t>
  </si>
  <si>
    <t>https://www.zoominfo.com/c/moank-ab/463884662
https://tracxn.com/d/companies/moank-ab/__4deU2ls7yL5dVEagwU-fHUY4qpbYJhioLcovVSpOTfI
https://www.crunchbase.com/organization/moank
https://nordic9.com/companies/moank-company4230217345/
https://eu-credits.com/credits-in-sweden/
https://www.riksgalden.se/en/our-operations/deposit-insurance/search-for-member-institutions/account-types-covered-by-the-insurance/moank-ab/
https://www.cbinsights.com/company/moank
https://www.monitorcm.se/en/companies/moank-fintech-group/
https://www.trustpilot.com/review/moank.se
https://www.linkedin.com/company/moank
https://www.kreditkoll.nu/kreditgivare/moank
https://www.moank.se/
https://www.payup.se/lan/
https://xn--dittln-mua.se/langivare/moank/
https://enklare.se/partners/moank/
https://www.mystep.se/kreditgivare/moank
https://trygga.com/lana-pengar/langivare/moank/
https://www.payup.se/lan/privatlan/moank/
https://www.allabolag.se/foretag/moank-ab/stockholm/finansbolag-finansiella-tj%C3%A4nster/2KG53SDI5YE9Q
https://www.payup.se/lana-pengar/privatlan/moank/
https://www.mystep.se/kreditgivare/moank
https://www.moank.se/
https://www.moank.se/kundtjanst
https://trygga.com/lana-pengar/langivare/moank/
https://www.comparia.se/langivare/moank/
https://kredit.nu/langivare/moank/
https://www.kreditkoll.nu/kreditgivare/moank
https://ekonomival.se/lana-pengar/langivare/moank
https://finansvalp.se/omdomen/moank
https://tracxn.com/d/companies/moank-ab/__4deU2ls7yL5dVEagwU-fHUY4qpbYJhioLcovVSpOTfI</t>
  </si>
  <si>
    <t>IMPORTANT: Moank AB has suspended new consumer lending as of late 2025. Their existing loan portfolio was acquired by Morrow Bank (Morrow Bank AB, which became a Swedish bank in January 2026). Moank's</t>
  </si>
  <si>
    <t>Morrow Bank AB</t>
  </si>
  <si>
    <t>https://morrowbank.se/lan/privatlan</t>
  </si>
  <si>
    <t>7.00%</t>
  </si>
  <si>
    <t>18.25%</t>
  </si>
  <si>
    <t>https://ir.morrowbank.com/
https://thebanks.eu/banks/19672
https://ir.morrowbank.com/long-term-ambitions
https://ir.morrowbank.com/news/swedish-banking-license
https://www.vinge.se/en/mandates/morrow-bank-s-swedish-subsidiary-has-received-a-banking-license/
https://www.jitta.com/stock/swe:morrow?feature=widget-related-stock
https://kistefos.no/portfolio/active/komplett-bank-asa/
https://simplywall.st/stocks/se/banks/sto-morrow/morrow-bank-shares
https://mfn.se/all/a/komplett-bank
https://ir.morrowbank.com/news/agreement-to-acquire-moank-loan-portfolio
https://www.kapitalkoll.se/blog/morrow-bank-omdome-2025-lan-ranta-och-recensioner
https://www.kapitalkoll.se/blog/morrow-bank-2
https://www.kapitalkoll.se/blog/morrow-bank-sparkonto-ranta-och-omdomen-2025
https://www.kapitalkoll.se/blog/morrow-bank
https://morrowbank.se/
https://morrowbank.se/priser-och-villkor?category=kreditkort
https://www.kapitalkoll.se/blog/morrow-bank-kontakt-i-sverige-telefon-och-support
https://morrowbank.se/lan
https://www.mystep.se/kreditgivare/morrowbank
https://morrowbank.com/
https://www.kreditkoll.nu/kreditgivare/morrowbank
https://www.mystep.se/kreditgivare/morrowbank
https://morrowbank.se/lan/privatlan
https://www.sambla.se/partners/morrowbank/
https://trygga.com/lana-pengar/langivare/morrow-bank/
https://www.kapitalkoll.se/blog/morrow-bank-omdome-2025-lan-ranta-och-recensioner
https://advisa.se/langivare/morrowbank/
https://www.payup.se/lan/morrow-bank/
https://kreditium.se/loans/morrow-bank/
https://www.xn--lnea-qoa.se/privatlan/recensioner/morrow-bank/</t>
  </si>
  <si>
    <t>Produkt: annuitetslån (privatlån) utan säkerhet (blancolån). Räntan är rörlig och sätts individuellt baserat på kreditprövning via UC. Uppläggningsavgift 580 kr; månadsavgift 35 kr (pappersfaktura +13</t>
  </si>
  <si>
    <t>Nordea Bank Abp, filial i Sverige</t>
  </si>
  <si>
    <t>https://www.nordea.se/privat/produkter/lan/privatlan.html</t>
  </si>
  <si>
    <t>5.24%</t>
  </si>
  <si>
    <t>13.97%</t>
  </si>
  <si>
    <t>https://www.nordea.se/privat/produkter/lan/privatlan.html
https://www.kreditkoll.nu/kreditgivare/nordea
https://www.nordea.se/privat/produkter/lan/lanekalkyl.html
https://www.nordea.se/privat/produkter/lan/blancolan.html
https://www.konsumentguiden.se/lana-pengar/privatlan/nordea-privatlan/
https://xn--privatlnlistan-rib.se/privatlan/nordea-privatlan/
https://www.nordea.se/privat/produkter/aktuella-priser-och-rantor.html
https://www.nordea.se/privat/produkter/lan/samla-lan-och-krediter.html
https://laaneportalen.se/nordea-privatlan/
https://www.xn--lnen-qoa.se/nordea/
https://www.nordea.se/privat/produkter/lan/privatlan.html
https://www.nordea.se/privat/produkter/aktuella-priser-och-rantor.html
https://www.nordea.se/privat/produkter/bolan/
https://www.nordea.se/privat/produkter/lan/blancolan.html
https://xn--privatlnlistan-rib.se/privatlan/nordea-privatlan/
https://www.nordea.se/privat/produkter/lan/lanekalkyl.html
https://www.xn--lnen-qoa.se/nordea/
https://www.nordea.se/privat/produkter/lan/medlemslan.html
https://www.nordea.se/privat/produkter/lan/flytta-privatlan-till-oss.html
https://www.nordeafinance.se/</t>
  </si>
  <si>
    <t>Långivare: Nordea Bank Abp, filial i Sverige (Finansinspektionens tillstånd). Nominell ränta: 4,95%–12,95% (rörlig, individuell). Effektiv ränta 5,24%–13,97% beräknad enligt Konsumentverkets riktlinje</t>
  </si>
  <si>
    <t>Nordea Finans Sverige AB</t>
  </si>
  <si>
    <t>https://www.nordeafinance.se/privat/produkter/bilfinansiering/billan.html</t>
  </si>
  <si>
    <t>7.18%</t>
  </si>
  <si>
    <t>5.99%</t>
  </si>
  <si>
    <t>https://www.nordea.com/en/our-services/nordea-finance
https://thebanks.eu/banks/17643
https://www.bloomberg.com/profile/company/7288186Z:SS
https://en.wikipedia.org/wiki/Nordea
https://thebanks.eu/banks/17576
https://thebanks.eu/banks/17643/locations
https://www.nordeafinance.fi/en/personal/about-nordea-finance.html
https://www.creditsafe.com/business-index/en-ie/company/nordea-finans-sverige-ab-se00558232
https://www.nordea.com/en
https://www.dnb.com/business-directory/company-profiles.nordea_finans_sverige_ab.bbcf17df5d5a94f12b00e6d98286ee4d.html
https://thebanks.eu/banks/17643
https://www.bloomberg.com/profile/company/7288186Z:SS
https://www.nordea.com/en/investors/group-annual-reports
https://www.creditsafe.com/business-index/en-us/company/nordea-finans-sverige-ab-se00558232
https://www.nordea.fi/en/personal/our-services/loans/home-loans/housingloan.html
https://www.nordeafunds.com/sites/default/files/2025-03/AR2024%20GPM%20-%20Final.pdf
https://www.nordea.com/en/investors/financial-calendar
https://www.fdic.gov/resolutions/nordea-2025-165d-resolution-plan-public-section.pdf
https://finance.yahoo.com/news/nordea-bank-abp-nrdby-q4-170236393.html
https://en.wikipedia.org/wiki/Nordea
https://www.nordeafinance.se/privat/ranteandring.html
https://www.nordea.fi/sv/privat/stod/vanliga-fragor-om-lan-och-krediter.html
https://www.nordea.fi/sv/privat/vara-tjanster/lan/bostadslan/konsumentkredit-med-sakerhet.html
https://www.nordeafinance.se/om-oss/faq.html
https://www.nordea.fi/sv/privat/vara-tjanster/lan/konsumentkredit/
https://www.nordea.se/foretag/kundservice/fragor-och-svar-om-lan-och-krediter.html
https://www.nordea.se/Images/39-7668/leasing.pdf
https://www.mystep.se/kreditgivare/nordea
https://www.nordea.se/privat/produkter/lan/lanekalkyl.html
https://www.nordea.se/foretag/produkter/finansiera/
https://www.nordeafinance.se/om-oss/faq.html
https://www.nordeafinance.se/foretag/produkter/maskinfinansiering/avbetalning.html
https://www.nordeafinance.se/foretag/produkter/maskinfinansiering/Rakna-pa-avbetalning.html
https://www.nordeafinance.se/Images/160-80061/NF-konto_villkor.pdf
https://www.nordeafinance.se/privat/kundservice/fragor-och-svar-om-kreditkort.html
https://www.nordeafinance.se/privat/produkter/bilfinansiering/billan.html
https://www.nordeafinance.fi/sv/privatkunder/tjanster/kort/eramaksu.html
https://www.nordeafinance.se/Images/160-86153/Agrolkortet_Villkor.pdf
https://www.nordeafinance.fi/sv/foretagskunder/tjanster/saljfinansiering/kort-och-konsumentkrediter.html
https://www.nordeafinance.fi/sv/privatkunder/information/usein-kysyttya-korteista-asiakaspalvelu.html</t>
  </si>
  <si>
    <t>Product is a car instalment loan (billån) offered via Nordea Finans Sverige AB (org.nr 556021-1475), supervised by Finansinspektionen. Representative example (as of 2025-10-09): SEK 100,000 over 5 yea</t>
  </si>
  <si>
    <t>Northmill Bank AB</t>
  </si>
  <si>
    <t>https://www.northmill.com/se/lan/samlingslan/</t>
  </si>
  <si>
    <t>9.71%</t>
  </si>
  <si>
    <t>29.34%</t>
  </si>
  <si>
    <t>300000</t>
  </si>
  <si>
    <t>https://thebanks.eu/banks/19165
https://www.northmill.com/se-en/about-us/
https://www.preqin.com/data/profile/asset/northmill-bank-ab/412719
https://thebanks.eu/banks/19300
https://www.cbinsights.com/company/northmill-bank
https://www.raisin.com/en-ie/bank/northmill-bank-ab/
https://www.linkedin.com/company/northmill-ab/
https://www.riksgalden.se/en/our-operations/deposit-insurance/search-for-member-institutions/account-types-covered-by-the-insurance/northmill-bank-ab/
https://www.crunchbase.com/organization/northmill
https://tracxn.com/d/companies/northmill/__29-2sCkzmuS16j2oOGdQ1i47PKuu1mRnPrhPAhOPZpw
https://www.northmill.com/media/i5sfdxr5/reduce-produktvillkor-version-2024-04-23.pdf
https://www.northmill.com/se/
https://www.northmill.com/se/villkor/garantivillkor/
https://www.northmill.com/se/garantivillkor/
https://www.northmill.com/se/lan-med-lag-ranta/
https://www.northmill.com/se/lan/samlingslan/
https://www.lanupplysningen.se/northmill-bank/
https://www.northmill.com/se/bolan/
https://www.northmill.com/se/lan/
https://finansvalp.se/omdomen/northmill/kontokredit
https://www.northmill.com/se/lana-pengar/
https://www.northmill.com/se/lan/samlingslan/
https://kreditium.se/loans/northmill-samlingslan/
https://www.mystep.se/kreditgivare/northmill
https://kreditval.se/recensioner/northmill/
https://www.northmill.com/se/
https://www.northmill.com/se/bolan/samlingsbolan/
https://www.northmill.com/media/xhng2mzo/sekki-foer-northmills-samlingslaan-version-2025-03.pdf
https://finansvalp.se/omdomen/northmill/samlingslan
https://www.northmill.com/se/blogg/vad-ar-ett-samlingslan/</t>
  </si>
  <si>
    <t xml:space="preserve">Northmill Bank AB erbjuder primärt två konsumentkreditprodukter för privatpersoner i Sverige: (1) Samlingslån 'Reduce' – upp till 300 000 SEK, löptid 3–15 år, individuell räntesättning med garanti om </t>
  </si>
  <si>
    <t>Resurs Bank Aktiebolag</t>
  </si>
  <si>
    <t>https://www.resursbank.se/lana-pengar/privatlan</t>
  </si>
  <si>
    <t>32.54%</t>
  </si>
  <si>
    <t>8.80%</t>
  </si>
  <si>
    <t>https://documenthandler.resurs.com/Dokument.pdf?customerType=natural&amp;docType=villkor-elektroniska-tjanster&amp;land=SE&amp;language=sv
https://www.kreditkoll.nu/kreditgivare/resursbank
https://documenthandler.resurs.com/Dokument.pdf?customerType=natural&amp;docType=commonTermsLoans&amp;land=SE&amp;language=sv
https://documenthandler.resurs.com/Dokument.pdf?docType=commonTerms&amp;land=SE&amp;customerType=NATURAL&amp;language=sv
https://www.resursbank.se/kundservice/browse
https://www.sambla.se/partners/resurs-bank/
https://www.payup.se/lan/resurs-bank/
https://krea.se/banker-och-langivare/resurs-bank/
https://www.resursbank.se/merchant-guidelines
https://www.resursbank.se/lana-pengar
https://www.resursbank.se/lana-pengar/privatlan
https://www.resursbank.se/lana-pengar
https://www.resursbank.se/lana-pengar/hoj-ditt-lan
https://www.resursbank.se/lana-pengar/lanekalkylatorn
https://www.resursbank.se/ellosprivatlan/hoj-ditt-lan
https://www.resursbank.se/gronalan
https://www.resursbank.se/ellosprivatlan
https://www.resursbank.se/gronalan/gront-privatlan
https://www.resursbank.se/
https://www.resursbank.se/resurs-society/ordlista</t>
  </si>
  <si>
    <t>Unsecured consumer loan (privatlån utan säkerhet). Interest is variable and individually priced based on creditworthiness, loan amount, and chosen repayment period. Minimum annual income required: 240</t>
  </si>
  <si>
    <t>Roslagens Sparbank</t>
  </si>
  <si>
    <t>https://www.roslagenssparbank.se/privat/privatlan-och-krediter/privatlandirekt-ansok.html</t>
  </si>
  <si>
    <t>7.91%</t>
  </si>
  <si>
    <t>not publicly specified (contact bank for individual assessment)</t>
  </si>
  <si>
    <t>not publicly specified</t>
  </si>
  <si>
    <t xml:space="preserve">12 years </t>
  </si>
  <si>
    <t>https://www.roslagenssparbank.se/privat/erbjudanden.html
https://www.roslagenssparbank.se/privat/rantor-priser-och-kurser/lanetjanster.html
https://www.roslagenssparbank.se/
https://www.roslagenssparbank.se/privat/privatlan-och-krediter/privatlandirekt-ansok.html
https://www.roslagenssparbank.se/privat/spara-och-placera/mifid/avtal-och-allmanna-villkor/avtal-och-allmanna-villkor-kunder-i-sverige.html
https://www.roslagenssparbank.se/privat/boende-och-bolan/rakna-pa-ditt-bolan/rorlig-eller-bunden-ranta.html
https://www.roslagenssparbank.se/privat/boende-och-bolan/ansok-om-bolan.html
https://www.roslagenssparbank.se/privat/boende-och-bolan/bolanerantor.html
https://www.roslagenssparbank.se/privat/rantor-priser-och-kurser/spar-och-placeringstjanster.html
https://www.roslagenssparbank.se/privat/boende-och-bolan/dags-att-kopa-ny-bostad.html
https://www.roslagenssparbank.se/
https://www.roslagenssparbank.se/privat/boende-och-bolan/rakna-pa-ditt-bolan/rorlig-eller-bunden-ranta.html
https://www.roslagenssparbank.se/privat/spara-och-placera/sparkonton.html
https://www.roslagenssparbank.se/privat/privatlan-och-krediter/privatlandirekt-ansok.html
https://www.roslagenssparbank.se/privat/boende-och-bolan/bolanerantor.html
https://www.roslagenssparbank.se/privat/rantor-priser-och-kurser/lanetjanster.html
https://www.roslagenssparbank.se/privat/kort-och-betala/kort/kreditkort/kreditkort-mastercard.html
https://www.roslagenssparbank.se/privat/erbjudanden.html
https://www.roslagenssparbank.se/privat/vara-kundpaket/nyckelkund.html
https://www.roslagenssparbank.se/privat/rantor-priser-och-kurser/rantor.html</t>
  </si>
  <si>
    <t>Interest rate is variable and set individually based on the borrower's financial situation (räntespann 6.84–16.34%, senast ändrad 2025-07-03). Representative example: SEK 100,000 at 7.5% nominal rate,</t>
  </si>
  <si>
    <t>Sala Sparbank</t>
  </si>
  <si>
    <t>https://www.salasparbank.se/privat/privatlan-och-krediter/privatlandirekt-ansok.html</t>
  </si>
  <si>
    <t>https://www.salasparbank.se/privat/privatlan-och-krediter/privatlandirekt-ansok.html
https://www.salasparbank.se/privat/privatlan-och-krediter.html
https://www.salasparbank.se/privat/privatlan-och-krediter/samla-lanen.html
https://www.salasparbank.se/privat/boende-och-bolan.html
https://www.salasparbank.se/privat/privatlan-och-krediter/kontokredit.html
https://www.salasparbank.se/privat/rantor-priser-och-kurser/lanetjanster.html
https://www.salasparbank.se/
https://www.salasparbank.se/privat/kort/kreditkort/kreditkort-mastercard.html
https://www.sparbankenskane.se/privat/privatlan-och-krediter.html
https://www.sparbankenskane.se/privat/privatlan-och-krediter/privatlandirekt-ansok.html
https://www.salasparbank.se/
https://www.salasparbank.se/privat/digitala-tjanster/internetbanken.html
https://www.salasparbank.se/om-oss/kontakta-oss.html
https://www.riksgalden.se/sv/var-verksamhet/insattningsgarantin-och-investerarskyddet/sok-anslutna-banker-och-institut/kontoslag-som-omfattas/Sala-Sparbank/
https://www.bokasalasparbank.se/
https://www.salasparbank.se/om-oss/historia.html
https://www.salasparbank.se/om-oss/press.html
https://www.allabolag.se/foretag/sala-sparbank/sala/finansbolag-finansiella-tj%C3%A4nster/2NU71T1I5YE9Q
https://www.facebook.com/salasparbank/?locale=sv_SE
https://www.mynewsdesk.com/se/salasparbank/contact_people
https://www.salasparbank.se/privat/privatlan-och-krediter/privatlandirekt-ansok.html
https://www.salasparbank.se/privat/spara-och-placera/sparkonton/fastrantekonto.html
https://www.salasparbank.se/privat/boende-och-bolan/bolan-for-olika-behov/bolan-lo-medlemmar.html
https://www.salasparbank.se/privat/boende-och-bolan/bolanerantor.html
https://www.salasparbank.se/privat/boende-och-bolan/rakna-pa-ditt-bolan.html
https://www.salasparbank.se/privat/rantor-priser-och-kurser/lanetjanster.html
https://www.salasparbank.se/privat/boende-och-bolan/fastighetsbyran-bolaneerbjudande.html
https://www.salasparbank.se/privat/boende-och-bolan.html
https://www.lsb.se/lana-pengar
https://www.salasparbank.se/privat/boende-och-bolan/bolan-for-olika-behov/byggnadslan.html</t>
  </si>
  <si>
    <t>Variable (rörlig) interest rate, set individually based on applicant's financial circumstances. Arrangement fee (uppläggningsavgift) of SEK 300 (SEK 0 for Nyckelkund/Key Customer). No notification fee</t>
  </si>
  <si>
    <t>Santander Consumer Bank AS Norge, Sverige Filial</t>
  </si>
  <si>
    <t>https://www.santanderconsumer.se/</t>
  </si>
  <si>
    <t>7.17%</t>
  </si>
  <si>
    <t>16.53%</t>
  </si>
  <si>
    <t xml:space="preserve">10 år </t>
  </si>
  <si>
    <t>https://trygga.com/lana-pengar/langivare/santander-consumer-bank/
https://www.santanderconsumer.se/
https://www.payup.se/lan/santander-bank/
https://www.avanza.se/aza/depa/blanketter/sparkonton/santander/santander_allmanna_villkor.pdf
https://thebanks.eu/banks/17575
https://www.kreditkoll.nu/kreditgivare/santander
https://www.opensanctions.org/entities/bic-BSNOSESS/
https://www.ordnabolan.se/privatlan/omdome/santander-consumer-bank/
https://kreditium.se/loans/santander/
https://www.allabolag.se/foretag/santander-consumer-bank-as-norge-sverige-filial/solna/finansbolag-finansiella-tj%C3%A4nster/2DEJQGGI5YE9Q
https://thebanks.eu/banks/17575
https://www.crunchbase.com/organization/santander-consumer-bank-sweden
https://www.trustpilot.com/review/santander.se
https://thebanks.eu/banks/12896
https://live.euronext.com/en/products/equities/company-news/2025-02-24-santander-consumer-bank-results-and-annual-report-2024
https://www.santander.com/en/stories/how-to-apply-for-a-consumer-loan
https://support.payever.org/hc/en-us/articles/360009914659-Santander-Installments-Financing-Sweden
https://play.google.com/store/apps/details?id=se.santanderconsumer.mobilebank&amp;hl=en
https://www.santanderconsumer.no/contentassets/h-49676a/3946bc505b7b4c4e882fb4389b6c1c22/santander-company-presentation-march-q4-2024.pdf
https://www.trustfinance.com/companies/santander-consumer-bank-sweden/overview
https://www.santanderconsumer.se/kundservice/vanliga-fragor-och-svar/privatlan
https://www.ordnabolan.se/privatlan/omdome/santander-consumer-bank/
https://www.bank24.se/santander/</t>
  </si>
  <si>
    <t>Produkten heter 'Mitt lån' och är ett blancolån utan säkerhet. Räntan är individuell och rörlig; nominell ränta 6.94%–15.40%, effektiv ränta 7.17%–16.53%. Kreditprövning sker via UC. Krav: folkbokförd</t>
  </si>
  <si>
    <t>SBAB Bank AB</t>
  </si>
  <si>
    <t>https://www.sbab.se/1/privat/lana/privatlan/privatlan_-_sa_funkar_det.html</t>
  </si>
  <si>
    <t>4.85%</t>
  </si>
  <si>
    <t>9.30%</t>
  </si>
  <si>
    <t>https://finansvalp.se/omdomen/sbab/privatlan
https://www.kreditkoll.nu/kreditgivare/sbab
https://www.mystep.se/kreditgivare/sbab
https://www.sbab.se/1/privat/lana/privatlan/privatlan_-_sa_funkar_det.html
https://www.bank24.se/sbab-bank/
https://www.hittalanet.se/langivare/sbab
https://www.xn--affrslivet-s5a.com/blogs/sbab-ranta
https://www.konsumentguiden.se/lana-pengar/privatlan/sbab-privatlan/
https://xn--svenskaprivatln-ulb.se/sbab-privatlan/
https://www.sverigekredit.se/recensioner/sbab/privatlan
https://www.sbab.se/1/in_english.html
https://en.wikipedia.org/wiki/SBAB
https://www.crunchbase.com/organization/sbab-bank-ab
https://www.sab.com/en/faqdetails/
https://thebanks.eu/banks/17593
https://www.bloomberg.com/profile/company/84122Z:SS
https://play.google.com/store/apps/details?id=se.sbab.bankapp&amp;hl=en
https://news.cision.com/sbab-bank
https://www.zoominfo.com/c/sbab-bank-ab/372821314
https://apps.apple.com/se/app/sbab/id1284703331?l=en-GB</t>
  </si>
  <si>
    <t>Privatlån (blancolån utan säkerhet). Räntan sätts individuellt och är rörlig under lånets löptid. Kreditupplysning tas via UC. Ingen uppläggningsavgift; aviavgift 25 kr/mån (avgiftsfri vid e-faktura/a</t>
  </si>
  <si>
    <t>Sidensjö Sparbank</t>
  </si>
  <si>
    <t>https://www.sidensjosparbank.se/privat/privatlan-och-krediter/privatlandirekt-ansok.html</t>
  </si>
  <si>
    <t>8.28%</t>
  </si>
  <si>
    <t>https://www.sidensjosparbank.se/
https://www.sidensjosparbank.se/privat/rantor-priser-och-kurser/lanetjanster.html
https://www.riksgalden.se/sv/var-verksamhet/insattningsgarantin-och-investerarskyddet/sok-anslutna-banker-och-institut/kontoslag-som-omfattas/Sidensjo-Sparbank/
https://www.sidensjosparbank.se/privat/privatlan-och-krediter/medlemslan.html
https://www.sidensjosparbank.se/privat/privatlan-och-krediter/privatlandirekt-ansok.html
https://www.bolagsfakta.se/5896006219-Sidensjo_sparbank
https://www.sidensjosparbank.se/privat/rantor-priser-och-kurser/spar-och-placeringstjanster.html
https://www.sidensjosparbank.se/privat/boende-och-bolan/rakna-pa-ditt-bolan/rorlig-eller-bunden-ranta.html
https://xn--lnesidor-9za.se/sidensjo-sparbank/
https://www.sidensjosparbank.se/privat/privatlan-och-krediter/samla-lanen.html
https://www.sidensjosparbank.se/
https://www.riksgalden.se/sv/var-verksamhet/insattningsgarantin-och-investerarskyddet/sok-anslutna-banker-och-institut/kontoslag-som-omfattas/Sidensjo-Sparbank/
https://www.allabolag.se/foretag/sidensj%C3%B6-sparbank/sidensj%C3%B6/finansbolag-finansiella-tj%C3%A4nster/2PIBVIJI5YE9Q
https://www.facebook.com/sparbanksidensjo/
https://www.sidensjosparbank.se/om-oss/kontakta-oss/oppettider-och-kontorsuppgifter.html
https://www.sidensjosparbank.se/om-oss.html
https://www.bolagsfakta.se/5896006219-Sidensjo_sparbank
https://cesam.nu/sidensjo-sparbank/
https://oppettider.net/spots/swedbank-sparbank-sidensjo-bredaker-be0c06ada5
https://www.eniro.se/sidensj%C3%B6+sparbank+sidensj%C3%B6/14939364/firma
https://www.sidensjosparbank.se/privat/privatlan-och-krediter/privatlandirekt-ansok.html
https://www.sidensjosparbank.se/privat/privatlan-och-krediter/privatlandirekt-ansok/lana-100000.html
https://www.sidensjosparbank.se/privat/rantor-priser-och-kurser/lanetjanster.html
https://www.sidensjosparbank.se/privat/privatlan-och-krediter/privatlandirekt-ansok/lana-50000.html
https://www.sidensjosparbank.se/privat/privatlan-och-krediter/privatlandirekt-ansok/lana-30000.html
https://www.sidensjosparbank.se/privat/privatlan-och-krediter/samla-lanen.html
https://www.sidensjosparbank.se/
https://www.sidensjosparbank.se/privat/spara-och-placera/sparkonton/fastrantekonto.html
https://www.sidensjosparbank.se/privat/boende-och-bolan.html
https://www.sidensjosparbank.se/privat/boende-och-bolan/rakna-pa-ditt-bolan/rorlig-eller-bunden-ranta.html</t>
  </si>
  <si>
    <t>Variable (rörlig) interest rate, individually set based on applicant's financial situation. Nominal rate range 6.20%–16.34% (last updated 2025-02-07). Illustrative example: SEK 100,000 at 7.98% nomina</t>
  </si>
  <si>
    <t>Skandinaviska Enskilda Banken AB</t>
  </si>
  <si>
    <t>https://seb.se/privat/privatlan-och-krediter/privatlan-enkla-lanet</t>
  </si>
  <si>
    <t>13.65%</t>
  </si>
  <si>
    <t>https://www.kreditkoll.nu/kreditgivare/seb
https://www.konsumentguiden.se/lana-pengar/bolan/seb-bolan-ranta-villkor-seb-bank/
https://seb.se/
https://loanscouter.com/se/langivare/seb/
https://www.mystep.se/kreditgivare/seb
https://www.xn--lnen-qoa.se/seb/
https://sebgroup.com/
https://advisa.se/langivare/seb/
https://webapp.sebgroup.com/mb/mblib.nsf/alldocsbyunid/3B2F1B1251BFF204C1258C9E002ED43F/$FILE/Allmanna_lanevillkor_2025_07_01.pdf
https://www.weforum.org/organizations/skandinaviska-enskilda-banken-seb/
https://seb.se/privat/tjanster/aktuella-rantor
https://seb.se/privat/privatlan-och-krediter/privatlan-enkla-lanet
https://www.kreditkoll.nu/kreditgivare/seb
https://seb.se/privat/bolan/bolanerantor
https://seb.se/privat/bolan
https://www.xn--lnen-qoa.se/seb/
https://seb.se/privat/privatlan-och-krediter/samla-lan-och-krediter
https://www.ekonomifokus.se/bostad/lan/seb
https://seb.se/var-kundservice/1012-vilken-raenta-har-jag-pa-mina-lan
https://finansvalp.se/omdomen/seb/privatlan</t>
  </si>
  <si>
    <t>Produkten heter 'Enkla lånet' och är ett blancolån (lån utan säkerhet). Räntan är rörlig och sätts individuellt baserat på kreditvärdighet. Uppläggningsavgift 300 kr tillkommer för icke-befintliga SEB</t>
  </si>
  <si>
    <t>Skurups Sparbank</t>
  </si>
  <si>
    <t>https://www.skurupssparbank.se/privat/privatlan-och-krediter/privatlandirekt-ansok.html</t>
  </si>
  <si>
    <t>5.70%</t>
  </si>
  <si>
    <t>15.84%</t>
  </si>
  <si>
    <t>50000</t>
  </si>
  <si>
    <t>https://www.skurupssparbank.se/privat/rantor-priser-och-kurser/spar-och-placeringstjanster.html
https://www.skurupssparbank.se/privat/rantor-priser-och-kurser/lanetjanster.html
https://www.skurupssparbank.se/privat/privatlan-och-krediter/privatlandirekt-ansok.html
https://www.bank24.se/konsumentkredit/
https://www.skurupssparbank.se/
https://www.skurupssparbank.se/privat/privatlan-och-krediter/medlemslan.html
https://www.kreditkoll.nu/kreditgivare/konsumentkredit
https://www.skurupssparbank.se/privat/rantor-priser-och-kurser.html
https://trygga.com/lana-pengar/konsumentkredit/
https://www.skurupssparbank.se/privat/boende-och-bolan/bolanerantor.html
https://thebanks.eu/banks/17572
https://www.riksgalden.se/en/our-operations/deposit-insurance/search-for-member-institutions/account-types-covered-by-the-insurance/Skurups-Sparbank/
https://www.facebook.com/skurupssparbank/
https://www.zoominfo.com/c/skurups-sparbank/430311039
https://6sense.com/company/skurups-sparbank/5c3b0611d55ae49f1b7e9f48
https://www.creditsafe.com/business-index/en-us/company/skurups-sparbank-se00530971
https://www.lusha.com/business/e6886a0eecd4b5ab/
https://loggainse.com/skurups-sparbank/
https://tracxn.com/d/companies/skurups-sparbank/__yJJPNfoueMIeLLB7yatH_TRahafvQpFOSzlcbAFEb5o
https://www.crunchbase.com/organization/skurups-sparbank
https://www.skurupssparbank.se/privat/privatlan-och-krediter/privatlandirekt-ansok.html
https://www.skurupssparbank.se/privat/rantor-priser-och-kurser/lanetjanster.html
https://www.skurupssparbank.se/privat/boende-och-bolan/bolanerantor.html
https://www.skurupssparbank.se/privat/rantor-priser-och-kurser/spar-och-placeringstjanster.html
https://www.skurupssparbank.se/
https://www.skurupssparbank.se/privat/boende-och-bolan/rakna-pa-ditt-bolan.html
https://www.skurupssparbank.se/privat/boende-och-bolan.html
https://www.skurupssparbank.se/privat/privatlan-och-krediter/lana-till-bil/billan.html
https://www.skurupssparbank.se/privat/privatlan-och-krediter/privatlandirekt-ansok/lana-50000.html
https://www.riksgalden.se/sv/var-verksamhet/insattningsgarantin-och-investerarskyddet/sok-anslutna-banker-och-institut/kontoslag-som-omfattas/Skurups-Sparbank/</t>
  </si>
  <si>
    <t>Produkt: PrivatlånDirekt. Räntan är rörlig och sätts individuellt efter sökandens ekonomiska förutsättningar. Uppläggningsavgift 300 kr (0 kr för Nyckelkund). Aviseringsavgift 0 kr vid avisering i int</t>
  </si>
  <si>
    <t>Sörmlands Sparbank AB</t>
  </si>
  <si>
    <t>https://www.sormlandssparbank.se/privat/privatlan-och-krediter/privatlandirekt-ansok.html</t>
  </si>
  <si>
    <t>18.00%</t>
  </si>
  <si>
    <t>https://www.sormlandssparbank.se/
https://www.sormlandssparbank.se/privat/rantor-priser-och-kurser/lanetjanster.html
https://www.sormlandssparbank.se/privat/privatlan-och-krediter/privatlandirekt-ansok.html
https://www.sormlandssparbank.se/privat/rantor-priser-och-kurser.html
https://www.sormlandssparbank.se/privat/rantor-priser-och-kurser/spar-och-placeringstjanster.html
https://www.sormlandssparbank.se/privat/boende-och-bolan/bolanerantor/villkorsandring-bolan.html
https://www.sormlandssparbank.se/privat/boende-och-bolan.html
https://www.sormlandssparbank.se/privat/rantor-priser-och-kurser/vanliga-tjanster.html
https://www.sormlandssparbank.se/privat/rantor-priser-och-kurser/betalningstjanster.html
https://www.sormlandssparbank.se/privat/boende-och-bolan/ansok-om-lanelofte.html
https://www.sormlandssparbank.se/privat/rantor-priser-och-kurser.html
https://www.sormlandssparbank.se/privat/spara-och-placera/sparkonton/fastrantekonto.html
https://www.sormlandssparbank.se/privat/boende-och-bolan/rakna-pa-ditt-bolan/rorlig-eller-bunden-ranta.html
https://www.sormlandssparbank.se/privat/boende-och-bolan/bolanerantor.html
https://www.sormlandssparbank.se/privat/rantor-priser-och-kurser/rantor.html
https://www.sormlandssparbank.se/privat/boende-och-bolan/bolanerantor/villkorsandring-bolan.html
https://www.sormlandssparbank.se/privat/rantor-priser-och-kurser/lanetjanster.html
https://www.sormlandssparbank.se/privat/rantor-priser-och-kurser/spar-och-placeringstjanster.html
https://www.sormlandssparbank.se/privat/privatlan-och-krediter/privatlandirekt-ansok.html
https://www.sormlandssparbank.se/privat/kort/kreditkort/kreditkort-mastercard.html</t>
  </si>
  <si>
    <t>Räntan är rörlig och sätts individuellt: 5,95–16,09% (senast ändrad 2025-10-03). Uppläggningsavgift 300 SEK (0 kr för Nyckelkund). Aviseringsavgift 0 kr vid digital avisering. Krav: minst 18 år, regel</t>
  </si>
  <si>
    <t>Sparbanken Bergslagen AB</t>
  </si>
  <si>
    <t>https://www.sparbankenbergslagen.se/privat/privatlan-och-krediter/privatlandirekt-ansok.html</t>
  </si>
  <si>
    <t>5.95%</t>
  </si>
  <si>
    <t>https://www.riksgalden.se/sv/var-verksamhet/insattningsgarantin-och-investerarskyddet/sok-anslutna-banker-och-institut/kontoslag-som-omfattas/Sparbanken-Bergslagen-AB/
https://thebanks.eu/banks/17592
https://www.sparbankenbergslagen.se/
https://www.sparbankenbergslagen.se/privat/rantor-priser-och-kurser/spar-och-placeringstjanster.html
https://www.sparbankenbergslagen.se/privat/privatlan-och-krediter/privatlandirekt-ansok.html
https://se.linkedin.com/company/bergslagens-sparbank
https://www.sparbankenbergslagen.se/privat/boende-och-bolan/rakna-pa-ditt-bolan/rorlig-eller-bunden-ranta.html
https://www.sparbankenbergslagen.se/om-oss/sammanslagning-fragor--svar.html
https://www.sparbankenbergslagen.se/privat/rantor-priser-och-kurser/lanetjanster.html
https://lexly.se/partners/sparbanken-bergslagen
https://www.sparbankenbergslagen.se/
https://thebanks.eu/banks/17592
https://www.ecbs.org/banks/sweden/bergslagen-sparbank-ab/view-details.html
https://www.riksgalden.se/sv/var-verksamhet/insattningsgarantin-och-investerarskyddet/sok-anslutna-banker-och-institut/kontoslag-som-omfattas/Sparbanken-Bergslagen-AB/
https://www.sparbankenbergslagen.se/privat/privatlan-och-krediter/privatlandirekt-ansok.html
https://www.sparbankenbergslagen.se/kontakt/kontor-oppettider.html
https://www.facebook.com/sparbankenbergslagen/
https://se.linkedin.com/company/sparbanken-bergslagen
https://www.sparbankenbergslagen.se/om-oss/agarstiftelser/sparbanksstiftelsen-sodra-dalarna.html
https://www.sparbankenbergslagen.se/foretag.html
https://www.sparbankenbergslagen.se/privat/privatlan-och-krediter/privatlandirekt-ansok.html
https://www.sparbankenbergslagen.se/privat/rantor-priser-och-kurser/lanetjanster.html
https://www.sparbankenbergslagen.se/privat/privatlan-och-krediter/privatlandirekt-ansok/lana-100000.html
https://www.sparbankenbergslagen.se/privat/boende-och-bolan.html
https://www.sparbankenbergslagen.se/privat/privatlan-och-krediter/lana-till-bil/billan.html
https://sparbankenbergslagen.se/privat/boende-och-bolan/bolanerantor.html
https://www.sparbankenbergslagen.se/privat/rantor-priser-och-kurser/spar-och-placeringstjanster.html
https://www.sparbankenbergslagen.se/privat/boende-och-bolan/rakna-pa-ditt-bolan/rorlig-eller-bunden-ranta.html
https://sparbankenbergslagen.se/privat/privatlan-och-krediter/medlemslan.html
https://www.sparbankenbergslagen.se/privat/privatlan-och-krediter/samla-lanen.html</t>
  </si>
  <si>
    <t>Unsecured personal loan (privatlån utan säkerhet). Interest rate is variable and set individually based on the borrower's financial circumstances (latest rate change 2025-10-03). Repayment period is 1</t>
  </si>
  <si>
    <t>Sparbanken Gotland</t>
  </si>
  <si>
    <t>https://www.sparbankengotland.se/privat/privatlan-och-krediter/privatlandirekt-ansok.html</t>
  </si>
  <si>
    <t>8.42%</t>
  </si>
  <si>
    <t>https://www.sparbankengotland.se/privat/privatlan-och-krediter/medlemslan.html
https://www.kreditkoll.nu/kreditgivare/konsumentkredit
https://www.bank24.se/konsumentkredit/
https://www.sparbankenskane.se/privat/privatlan-och-krediter/privatlandirekt-ansok.html
https://www.ordnabolan.se/privatlan/omdome/konsumentkredit/
https://trygga.com/lana-pengar/konsumentkredit/
https://www.sparbankengotland.se/privat/kort/kreditkort/kreditkort-mastercard-guld.html
https://advisa.se/langivare/konsumentkredit/
https://www.sparbankengotland.se/
https://trygga.com/lana-pengar/langivare/konsumentkredit-bank/
https://www.sparbankengotland.se/
https://www.crunchbase.com/organization/sparbanken-gotland
https://www.riksgalden.se/en/our-operations/deposit-insurance/search-for-member-institutions/account-types-covered-by-the-insurance/Sparbanken-Gotland/
https://thebanks.eu/banks/17660
https://www.sparbankengotland.se/om-oss/kontakta-oss.html
https://thebanks.eu/banks/17660/products_and_services
https://www.sparbankengotland.se/privat/digitala-tjanster/internetbanken/help-to-log-in.html
https://sv.wikipedia.org/wiki/Sparbanken_Gotland
https://www.sparbanken.se/om-oss.html
https://www.facebook.com/sparbankengotland/
https://www.sparbankengotland.se/privat/boende-och-bolan/bolanerantor.html
https://www.sparbankenskane.se/privat/rantor-priser-och-kurser/lanetjanster.html
https://www.sparbankenskane.se/privat/spara-och-placera/sparkonton/fastrantekonto.html
https://www.sparbankennord.se/privat/rantor-priser-och-kurser/lanetjanster.html
https://www.sparbankengotland.se/privat/privatlan-och-krediter/medlemslan.html
https://www.sparbankeneken.se/privat/privatlan-och-krediter/privatlandirekt-ansok.html
https://www.sparbankenskane.se/privat/privatlan-och-krediter/privatlandirekt-ansok.html
https://www.sparbankenskane.se/privat/rantor-priser-och-kurser/bolanerantor.html
https://finansklubben.se/ekonomi/banker-lan/lana-till-kontantinsats/lana-till-kontantinsats-regler-och-banker-2025/
https://www.sparbankenskane.se/privat/rantor-priser-och-kurser/spar-och-placeringstjanster.html
https://www.sparbankengotland.se/privat/privatlan-och-krediter/privatlandirekt-ansok.html
https://www.sparbankengotland.se/privat/privatlan-och-krediter.html
https://www.sparbankengotland.se/privat/privatlan-och-krediter/medlemslan.html
https://www.sparbankengotland.se/privat/privatlan-och-krediter/lana-till-bil/billan.html
https://www.sparbankengotland.se/privat/livet/boende/kopa-bostad/boendekollen.html
https://www.sparbankengotland.se/privat/privatlan-och-krediter/lana-till-bil.html
https://www.sparbankengotland.se/privat/boende-och-bolan/hoj-bolan.html
https://www.sparbankengotland.se/foretag/spara-och-placera/aktier-rantor-och-andra-placeringar/ranteplaceringar/bostadsobligationer.html
https://www.sparbankengotland.se/privat/boende-och-bolan/bolan-for-olika-behov/handpenningslan.html
https://www.sparbankengotland.se/privat/livet/boende/lana-till-renovering-alternativen-och-tipsen.html</t>
  </si>
  <si>
    <t>Rate is variable and set individually based on the borrower's financial circumstances. Requires regular income (not benefits/study loans), no payment remarks (betalningsanmärkningar), and a credit che</t>
  </si>
  <si>
    <t>Sparbanken Mälardalen AB</t>
  </si>
  <si>
    <t>https://www.sparbankenmalardalen.se/privat/privatlan-och-krediter/privatlandirekt-ansok.html</t>
  </si>
  <si>
    <t>https://www.sparbankenmalardalen.se/
https://www.sparbankenmalardalen.se/privat/uppdaterade-villkor.html
https://www.sparbankenvm.se
https://www.sparbankenmalardalen.se/privat.html
https://sparbankenvm.se/privat/spara-och-placera/vardepapper/strukturerade-produkter/kurser-och-slutliga-villkor/slutliga-villkor-spax.html
https://www.sparbankenmalardalen.se/privat/rantor-priser-och-kurser/spar-och-placeringstjanster.html
https://www.sparbankenvm.se/privat/rantor-priser-och-kurser/spar-och-placeringstjanster.html
https://www.sparbankenmalardalen.se/privat/boende-och-bolan/bolanerantor.html
https://www.sparbankenmalardalen.se/om-oss/finansiell-information/sparbanken-vaestra-maelardalen.html
https://fi.se/en/our-registers/prospektregistret/GetFile/?id=21-27152&amp;format=application/pdf&amp;name=21-27152.pdf
https://www.sparbankenmalardalen.se/
https://thebanks.eu/banks/17619
https://www.sparbankenvm.se
https://www.sparbankenmalardalen.se/privat.html
https://www.bloomberg.com/profile/company/3241107Z:SS
https://thebanks.eu/banks/17587
https://nordiccreditrating.com/issuer/sparbanken-malardalen-ab-publ?language_content_entity=en
https://www.sparbankenvm.se/privat/digitala-tjanster/internetbanken.html
https://www.sparbanksstiftelsenvm.se/
https://www.sparbankenvm.se/om-oss.html
https://www.sparbankenmalardalen.se/
https://www.sparbankenmalardalen.se/privat/uppdaterade-villkor.html
https://www.sparbankenmalardalen.se/privat.html
https://www.sparbankenmalardalen.se/privat/rantor-priser-och-kurser/lanetjanster.html
https://www.sparbankenmalardalen.se/privat/spara-och-placera/sparkonton/fastrantekonto.html
https://www.sparbankenmalardalen.se/privat/rantor-priser-och-kurser/spar-och-placeringstjanster.html
https://www.sparbankenmalardalen.se/privat/boende-och-bolan/rakna-pa-ditt-bolan/rorlig-eller-bunden-ranta.html
https://www.sparbankenmalardalen.se/privat/rantor-priser-och-kurser.html
https://www.sparbankenmalardalen.se/privat/privatlan-och-krediter/privatlandirekt-ansok.html
https://www.sparbankenmalardalen.se/privat/boende-och-bolan/bolanerantor.html</t>
  </si>
  <si>
    <t>Nominal interest rate range is 5.95–16.09% (variable/rörlig, last updated 2025-10-03). Representative example: 100 000 SEK at 7.73% nominal, effective APR 8.15% (8.01% for 'Nyckelkund' loyalty custome</t>
  </si>
  <si>
    <t>Sparbanken Nord</t>
  </si>
  <si>
    <t>https://www.sparbankennord.se/privat/privatlan-och-krediter/privatlandirekt-ansok.html</t>
  </si>
  <si>
    <t>7.98%</t>
  </si>
  <si>
    <t>https://www.sparbankennord.se/privat/privatlan-och-krediter/privatlandirekt-ansok.html
https://www.sparbankennord.se/privat/rantor-priser-och-kurser/lanetjanster.html
https://www.sparbankennord.se/privat/privatlan-och-krediter/privatlandirekt-ansok/lana-30000.html
https://www.sparbankennord.se/privat/privatlan-och-krediter.html
https://www.kreditkoll.nu/kreditgivare/konsumentkredit
https://www.sparbankennord.se/privat/privatlan-och-krediter/medlemslan.html
https://www.sparbankennord.se/privat.html
https://www.sparbankennord.se/privat/privatlan-och-krediter/samla-lanen.html
https://www.nordnet.se/se/tjanster/lan/privatlan
https://www.ordnabolan.se/privatlan/omdome/konsumentkredit/
https://www.nib.int/loan/sparbanken-nord-22681
https://www.sparbankennord.se/en/private.html
https://www.sparbankennord.se/en/about-sparbanken-nord.html
https://www.zoominfo.com/c/sparbanken-nord/372657112
https://thebanks.eu/banks/17582/products_and_services
https://www.bloomberg.com/profile/company/1466Z:SS
https://www.crunchbase.com/organization/sparbanken-nord
https://www.sparbankennord.se/en/corporates.html
https://www.riksgalden.se/en/our-operations/deposit-insurance/search-for-member-institutions/account-types-covered-by-the-insurance/Sparbanken-Nord/
https://www.cbinsights.com/company/sparbanken-nord
https://www.sparbankennord.se/privat/privatlan-och-krediter/samla-lanen.html
https://www.sparbankennord.se/privat/privatlan-och-krediter/privatlandirekt-ansok.html
https://www.sparbankennord.se/privat/rantor-priser-och-kurser/lanetjanster.html
https://www.sparbankennord.se/privat/boende-och-bolan/rakna-pa-ditt-bolan.html
https://www.sparbankennord.se/privat/boende-och-bolan/ansok-om-bolan.html
https://www.sparbankennord.se/privat/privatlan-och-krediter/medlemslan.html
https://www.sparbankennord.se/privat/privatlan-och-krediter/privatlandirekt-ansok/lana-30000.html
https://www.sparbankennord.se/privat/boende-och-bolan/ansok-om-lanelofte.html
https://www.sparbankennord.se/privat/boende-och-bolan.html
https://www.sparbankennord.se/privat/boende-och-bolan/bolanerantor.html</t>
  </si>
  <si>
    <t xml:space="preserve">Rate span 5.45–10.30% (last updated 2025-10-17 per site); representative APR example: 100,000 SEK at 7.98% variable rate, 5-year term = 8.42% effective rate. Setup fee 300 SEK (0 SEK for 'Nyckelkund' </t>
  </si>
  <si>
    <t>Sparbanken Sjuhärad AB</t>
  </si>
  <si>
    <t>https://www.sparbankensjuharad.se/privat/privatlan-och-krediter/privatlan.html</t>
  </si>
  <si>
    <t>7.26%</t>
  </si>
  <si>
    <t>16.90%</t>
  </si>
  <si>
    <t xml:space="preserve">30,000 SEK </t>
  </si>
  <si>
    <t>https://www.sparbankensjuharad.se/privat/privatlan-och-krediter/privatlan.html
https://www.sparbankensjuharad.se/
https://www.sparbankensjuharad.se/privat.html
https://www.sparbankensjuharad.se/privat/kort/kortvillkor.html
https://www.sparbankensjuharad.se/privat/kort/kreditkort/kreditkort-mastercard.html
https://www.sparbankensjuharad.se/privat/kort/kreditkort.html
https://www.sparbankensjuharad.se/privat/bli-kund.html
https://www.sparbankensjuharad.se/privat/kort/kreditkort/kreditkort-mastercard-platinum.html
https://www.sparbankensjuharad.se/om-webbplatsen/anvandarvillkor.html
https://www.creditsafe.com/business-index/en-us/company/sparbanken-sjuharad-ab-publ-se00453405
https://www.sparbankensjuharad.se/privat/boende-och-bolan/rakna-pa-ditt-bolan/rorlig-eller-bunden-ranta.html
https://www.sparbankensjuharad.se/privat/boende-och-bolan/bolanerantor.html
https://www.sparbankensjuharad.se/privat/spara-och-placera/sparkonton/fastrantekonto.html
https://www.sparbankensjuharad.se/privat/spara-och-placera.html
https://www.sparbankensjuharad.se/privat/boende-och-bolan.html
https://www.sparbankensjuharad.se/
https://www.sparbankensjuharad.se/privat/rantor-priser-och-kurser/spar-och-placeringstjanster.html
https://www.sparbankensjuharad.se/privat/rantor-priser-och-kurser/rantor.html
https://www.sparbankensjuharad.se/privat/rantor-priser-och-kurser/lanetjanster.html
https://www.sparbankensjuharad.se/privat/spara-och-placera/sparkonton.html
https://www.sparbankensjuharad.se/privat/privatlan-och-krediter/privatlan.html
https://www.sparbankensjuharad.se/privat/boende-och-bolan.html
https://www.sparbankensjuharad.se/privat/boende-och-bolan/rakna-pa-ditt-bolan.html
https://www.sparbankensjuharad.se/privat/boende-och-bolan/ansok-om-lanelofte.html
https://www.sparbankensjuharad.se/privat/privatlan-och-krediter/samla-lanen.html
https://www.sparbankensjuharad.se/privat/boende-och-bolan/ansok-om-bolan.html
https://www.sparbankensjuharad.se/privat/boende-och-bolan/bolanerantor.html
https://www.sparbankensjuharad.se/privat/boende-och-bolan/rakna-pa-ditt-bolan/rorlig-eller-bunden-ranta.html
https://www.sparbankensjuharad.se/privat/privatlan-och-krediter/privatlan/lana-30000.html
https://www.sparbankensjuharad.se/privat/boende-och-bolan/flytta-ditt-bolan-till-oss.html</t>
  </si>
  <si>
    <t>Variable (rörlig) interest rate; nominal rate span 6.90%–15.90% (last changed 2025-10-21); effective APR 7.26% on a 100,000 SEK / 5-year representative example. Set-up fee (uppläggningsavgift) 300 SEK</t>
  </si>
  <si>
    <t>Sparbanken Skåne AB</t>
  </si>
  <si>
    <t>https://www.sparbankenskane.se/privat/privatlan-och-krediter/privatlandirekt-ansok.html</t>
  </si>
  <si>
    <t>https://www.sparbankenskane.se/privat/digitala-tjanster/digital-post/uppdaterade-villkor.html
https://www.sparbankenskane.se/
https://www.sparbankenskane.se/privat/boende-och-bolan/fastighetsbyran-bolaneerbjudande.html
https://www.sparbankenskane.se/privat/rantor-priser-och-kurser/lanetjanster.html
https://www.sparbankenskane.se/privat/boende-och-bolan/ansok-om-bolan.html
https://www.sparbankenskane.se/om-oss/om-verksamheten/information-om-banken.html
https://www.sparbankenskane.se/sitemap.html
https://www.sparbankenskane.se/foretag/foretagslan-och-finansiera.html
https://www.sparbankenskane.se/privat/privatlan-och-krediter/privatlandirekt-ansok.html
https://www.sparbankenskane.se/privat/erbjudanden.html
https://www.sparbankenskane.se/privat/rantor-priser-och-kurser/lanetjanster.html
https://www.sparbankenskane.se/privat/erbjudanden.html
https://www.sparbankenskane.se/privat/rantor-priser-och-kurser/rantor.html
https://www.sparbankenskane.se/privat/privatlan-och-krediter/lana-till-bil/billan.html
https://www.sparbankenskane.se/privat/privatlan-och-krediter/privatlandirekt-ansok.html
https://www.sparbankenskane.se/privat/rantor-priser-och-kurser/spar-och-placeringstjanster.html
https://www.sparbankenskane.se/privat/spara-och-placera/sparkonton/fastrantekonto.html
https://www.sparbankenskane.se/privat/boende-och-bolan.html
https://www.sparbankenskane.se/privat/rantor-priser-och-kurser/bolanerantor.html
https://www.sparbankenskane.se/privat/privatlan-och-krediter/privatlandirekt-ansok/lana-50000.html
https://www.sparbankenskane.se/privat/erbjudanden.html
https://www.sparbankenskane.se/privat/privatlan-och-krediter/privatlandirekt-ansok.html
https://www.sparbankenskane.se/privat/rantor-priser-och-kurser/lanetjanster.html
https://www.sparbankenskane.se/privat/privatlan-och-krediter/samla-lanen.html
https://www.sparbankenskane.se/privat/boende-och-bolan.html
https://www.sparbankenskane.se/privat/privatlan-och-krediter/lana-till-bil/billan.html
https://www.sparbankenskane.se/privat.html
https://www.sparbankenskane.se/privat/boende-och-bolan/rakna-pa-ditt-bolan.html
https://www.sparbankenskane.se/privat/privatlan-och-krediter/privatlandirekt-ansok/lana-50000.html
https://www.sparbankenskane.se/privat/boende-och-bolan/ansok-om-lanelofte.html</t>
  </si>
  <si>
    <t>Rate is variable and set individually based on the borrower's financial circumstances (senaste ränteändring 2025-10-10). No setup fee (uppläggningsavgift 0 kr) and no notification fee (aviseringsavgif</t>
  </si>
  <si>
    <t>Sparbanken Skaraborg AB</t>
  </si>
  <si>
    <t>https://www.sparbankenskaraborg.se/privat/privatlan-och-krediter/privatlandirekt-ansok.html</t>
  </si>
  <si>
    <t>https://www.sparbankenskaraborg.se/privat/rantor-priser-och-kurser/spar-och-placeringstjanster.html
https://www.sparbankenskaraborg.se/privat/boende-och-bolan/rakna-pa-ditt-bolan/rorlig-eller-bunden-ranta.html
https://www.sparbankenskaraborg.se/privat/rantor-priser-och-kurser/lanetjanster.html
https://www.sparbankenskaraborg.se/privat/boende-och-bolan.html
https://www.fi.se/en/our-registers/prospektregistret/GetFile?id=25-6136&amp;format=application/pdf&amp;name=25-6136.pdf
https://www.riksgalden.se/sv/var-verksamhet/insattningsgarantin-och-investerarskyddet/sok-anslutna-banker-och-institut/kontoslag-som-omfattas/Sparbanken-Skaraborg-AB/
https://www.sparbankenskaraborg.se/
https://www.sparbankenskaraborg.se/privat/boende-och-bolan/bolanerantor.html
https://www.ecbs.org/banks/sweden/sparbanken-skaraborg-ab/view-details.html
https://www.sparbankenskaraborg.se/privat/boende-och-bolan/ansok-om-bolan.html
https://www.sparbankenskaraborg.se/
https://thebanks.eu/banks/17583
https://www.zoominfo.com/c/sparbanken-skaraborg/431097727
https://www.bloomberg.com/profile/company/1161251D:SS
https://www.crunchbase.com/organization/sparbanken-skaraborg
https://nordiccreditrating.com/issuer/sparbanken-skaraborg-ab-publ?language_content_entity=en
https://www.ecbs.org/banks/sweden/sparbanken-skaraborg-ab/view-details.html
https://www.riksgalden.se/en/our-operations/deposit-insurance/search-for-member-institutions/account-types-covered-by-the-insurance/Sparbanken-Skaraborg-AB/
https://www.sparbankenskaraborg.se/privat/digitala-tjanster/internetbanken.html
https://www.sparbankenskaraborg.se/kontakt/vara-kontor/skara.html
https://www.sparbankenskaraborg.se/privat/rantor-priser-och-kurser/lanetjanster.html
https://www.sparbankenskaraborg.se/privat/boende-och-bolan/bolanerantor.html
https://www.sparbankenskaraborg.se/privat/privatlan-och-krediter/privatlandirekt-ansok.html
https://www.sparbankenskaraborg.se/privat/boende-och-bolan/rakna-pa-ditt-bolan/rorlig-eller-bunden-ranta.html
https://www.sparbankenskaraborg.se/privat/rantor-priser-och-kurser/spar-och-placeringstjanster.html
https://www.sparbankenskaraborg.se/privat/boende-och-bolan/andra-ditt-bolan.html
https://www.sparbankenskaraborg.se/privat/boende-och-bolan.html
https://www.sparbankenskaraborg.se/privat/privatlan-och-krediter/medlemslan.html
https://www.sparbankenskaraborg.se/privat/privatlan-och-krediter/privatlandirekt-ansok/lana-50000.html
https://www.sparbankenskaraborg.se/privat/boende-och-bolan/ansok-om-bolan.html
https://www.sparbankenskaraborg.se/privat/rantor-priser-och-kurser/spar-och-placeringstjanster.html
https://www.sparbankenskaraborg.se/privat/boende-och-bolan.html
https://www.sparbankenskaraborg.se/privat/privatlan-och-krediter/privatlandirekt-ansok.html
https://www.sparbankenskaraborg.se/privat/rantor-priser-och-kurser/lanetjanster.html
https://www.sparbankenskaraborg.se/privat/boende-och-bolan/bolanerantor.html
https://www.sparbankenskaraborg.se/privat/privatlan-och-krediter/medlemslan.html
https://www.sparbankenskaraborg.se/privat/rantor-priser-och-kurser.html
https://www.sparbankenskaraborg.se/privat/privatlan-och-krediter/privatlandirekt-ansok/lana-50000.html
https://www.sparbankenskaraborg.se/privat/boende-och-bolan/rakna-pa-ditt-bolan.html
https://www.sparbankenskaraborg.se/privat/rantor-priser-och-kurser/rantor.html</t>
  </si>
  <si>
    <t>Privatlån utan säkerhet (blancolån). Räntan är rörlig och sätts individuellt (räntespann 5,95–16,09 %, senaste ränteändring 2025-10-03). Uppläggningsavgift 300 SEK (0 SEK för Nyckelkund); ingen aviser</t>
  </si>
  <si>
    <t>Sparbanken Spira AB</t>
  </si>
  <si>
    <t>https://www.sparbankenspira.se/privat/privatlan-och-krediter/privatlandirekt-ansok.html</t>
  </si>
  <si>
    <t>https://www.riksgalden.se/var-verksamhet/insattningsgarantin-och-investerarskyddet/sok-anslutna-banker-och-institut/kontoslag-som-omfattas/Sparbanken-Spira-AB/
https://thebanks.eu/banks/17597
https://www.sparbankenspira.se/privat/spara-och-placera/manadssparkonto.html
https://www.sparbankenspira.se/privat/boende-och-bolan/rakna-pa-ditt-bolan/rorlig-eller-bunden-ranta.html
https://www.sparbankenspira.se/
https://www.sparbankenspira.se/privat/vara-kundpaket/nyckelkund.html
https://www.sparbankenspira.se/om-webbplatsen/anvandarvillkor.html
https://www.sparbankenspira.se/privat/spara-och-placera/valj-sparform.html
https://www.sparbankenspira.se/privat/boende-och-bolan/bolanerantor.html
https://www.sparbankenspira.se/privat/digitala-tjanster/allmanna-villkor.html
https://www.sparbankenspira.se/
https://www.sparbankenspira.se/en/private.html
https://thebanks.eu/banks/17597
https://www.sparbankenspira.se/en/about-sparbanken-spira.html
https://www.sparbankenspira.se/en/private/digital-services.html
https://www.sparbankenspira.se/privat/digitala-tjanster/internetbanken.html
https://www.riksgalden.se/en/our-operations/deposit-insurance/search-for-member-institutions/account-types-covered-by-the-insurance/Sparbanken-Spira-AB/
https://www.sparbankenspira.se/om-oss/om-sparbanken.html
https://www.sparbankenspira.se/en/private/digital-services/mobile-bankid.html
https://www.zoominfo.com/c/tvidabergs-sparbank/430358752
https://www.sparbankenspira.se/privat/privatlan-och-krediter/privatlandirekt-ansok.html
https://www.sparbankenspira.se/privat/boende-och-bolan/rakna-pa-ditt-bolan/rorlig-eller-bunden-ranta.html
https://www.sparbankenspira.se/privat/boende-och-bolan/bolanerantor.html
https://www.sparbankenspira.se/privat/spara-och-placera/manadssparkonto.html
https://www.sparbankenspira.se/privat/privatlan-och-krediter/medlemslan.html
https://www.sparbankenspira.se/privat/privatlan-och-krediter.html
https://www.sparbankenspira.se/privat/boende-och-bolan.html
https://www.sparbankennord.se/privat/privatlan-och-krediter/privatlandirekt-ansok.html
https://www.sparbankenspira.se/privat/spara-och-placera/valj-sparform.html
https://www.sparbankenspira.se/privat/rantor-priser-och-kurser/rantor.html</t>
  </si>
  <si>
    <t>Loan is unsecured (blancolån/privatlån) with no collateral required. Variable (rörlig) interest rate individually set between 5.95%–16.09% (last rate change: 2025-10-03). Digital applications capped a</t>
  </si>
  <si>
    <t>Sparbanken Syd</t>
  </si>
  <si>
    <t>https://www.sparbankensyd.se/sv/privat/lana/blancolan/privatlan</t>
  </si>
  <si>
    <t>5.67%</t>
  </si>
  <si>
    <t>9.84%</t>
  </si>
  <si>
    <t>10 years</t>
  </si>
  <si>
    <t>https://www.sparbankensyd.se/om-oss/sakerhet-kundskydd/produktvillkor
https://www.sparbankensyd.se/vardagstjanster/rantor-och-villkor/produktvillkor/
https://www.mystep.se/kreditgivare/sparbankensyd
https://www.sparbankensyd.se/om-oss/finansiell-information/upplaningsprogram
https://www.sparbankensyd.se/
https://www.sparbankensyd.se/sv/privat/lana/blancolan/privatlan
https://www.bank24.se/konsumentkredit/
https://www.saastopankki.fi/sv-se/lan/konsumtionskredit-utan-sakerhet
https://www.xn--lnea-qoa.se/privatlan/recensioner/sparbanken-syd/
https://advisa.se/langivare/konsumentkredit/
https://thebanks.eu/banks/17584
https://pickthebank.eu/banks/sweden/sparbanken-syd-spsdse23/
https://www.aurigininc.com/c/Sparbanken-Syd/Sweden/DLBnCk
https://cbonds.com/bonds/718823/
https://pitchbook.com/profiles/company/124275-34
https://www.bloomberg.com/profile/company/0849443D:SS
https://leadiq.com/c/sparbanken-syd/5a1d857124000024005fed41
https://www.linkedin.com/company/sparbanken-syd/
https://www.cbinsights.com/company/sparbanken-syd
https://www.opensanctions.org/entities/NK-SHMpDenNhG9h8wuBaG5MVQ/
https://www.xn--lnea-qoa.se/privatlan/recensioner/sparbanken-syd/
https://www.sparbankensyd.se/sv/privat/lana/blancolan/privatlan
https://www.sparbankensyd.se/sv/privat/vara-tjanster/bolan/hoja-bolan
https://www.sparbankensyd.se/
https://www.sparbankenskane.se/privat/privatlan-och-krediter/privatlandirekt-ansok.html
https://www.sparbankensjuharad.se/privat/privatlan-och-krediter/privatlan.html
https://www.sparbankensyd.se/sv/privat/lana/bolan/flytta-bolan
https://www.sparbankensyd.se/sv/privat/lana/bolan/ranterabatt
https://www.sparbankenikarlshamn.se/privat/privatlan-och-krediter/privatlandirekt-ansok.html
https://www.sparbankeneken.se/privat/privatlan-och-krediter/privatlandirekt-ansok.html</t>
  </si>
  <si>
    <t>Individual interest rate setting (individuell räntesättning); standard credit assessment always performed. Nominal rate from 5.39% to 9.39%; representative example: 100,000 SEK over 5 years at 5.39% n</t>
  </si>
  <si>
    <t>Sparbanken Tanum</t>
  </si>
  <si>
    <t>https://www.sparbankentanum.se/privat/privatlan-och-krediter/privatlandirekt-ansok.html</t>
  </si>
  <si>
    <t>https://www.sparbankentanum.se/privat/privatlan-och-krediter/privatlandirekt-ansok.html
https://www.sparbankentanum.se/privat/privatlan-och-krediter/samla-lanen/index.htm
https://www.sparbankentanum.se/privat/spara-och-placera/vardepapper/strukturerade-produkter/kurser-och-slutliga-villkor/slutliga-villkor-spax.html
https://www.sparbankentanum.se/privat/kort-och-betala/kort/kreditkort/kreditkort-mastercard.html
https://www.sparbankentanum.se/privat/rantor-priser-och-kurser/lanetjanster.html
https://www.sparbankentanum.se/privat/privatlan-och-krediter.html
https://www.sparbankentanum.se/privat/rantor-priser-och-kurser/spar-och-placeringstjanster.html
https://www.sparbankentanum.se/privat/uppdaterade-villkor.html
https://www.sparbankentanum.se/
https://www.sparbankentanum.se/privat/tips-och-rad/hallbar-ekonomi/losa-lan.html
https://www.sparbankentanum.se/
https://www.sparbankentanum.se/privat/digitala-tjanster/internetbanken.html
https://www.facebook.com/spbtanum/?locale=sv_SE
https://www.sparbankentanum.se/kontakta-oss.html
https://www.vastsverige.com/en/tanum/produkter/sparbanken-tanum/
https://www.sparbankentanum.se/privat/digitala-tjanster/kundcenter-privat.html
https://www.riksgalden.se/en/our-operations/deposit-insurance/search-for-member-institutions/account-types-covered-by-the-insurance/Sparbanken-Tanum/
https://www.sparbankentanum.se/om-oss.html
https://www.spbtanum.se/sitemap.html
https://www.bankplatser.nu/Public/Bankplats/11591</t>
  </si>
  <si>
    <t>Variable (rörlig) interest rate set individually based on the borrower's financial situation. Loan requires: minimum age 18, regular income (not social benefits or student loans), no payment remarks (</t>
  </si>
  <si>
    <t>Svea Bank AB</t>
  </si>
  <si>
    <t>https://www.svea.com/sv-se/privat/lana/privatlan/svealånet</t>
  </si>
  <si>
    <t>8.87%</t>
  </si>
  <si>
    <t>https://www.mystep.se/kreditgivare/sveaekonomi
https://www.svea.com/globalassets/sweden/foretag/f%C3%B6retagsbanken/01-paket-och-tjanster/villkor-och-avtal/allm%C3%A4nna-villkor-f%C3%B6retagsl%C3%A5n-2024.1.pdf
https://www.golvpoolen.se/kopvillkor/betalningsalternativ/
https://www.payup.se/lan/svea-bank/
https://trygga.com/lana-pengar/langivare/svea-bank/
https://www.svea.com/sv-se/privat/artiklar-och-tips/content/kreditregler-2025-s%C3%A5-p%C3%A5verkas-du
https://www.wexthuset.com/wexthuset-info/villkor-svea-bank
https://www.svea.com/sv-se/privat/l%C3%A5na/privatl%C3%A5n/sveal%C3%A5net
https://www.fi.se/sv/bank/nyheter/?catid=16&amp;page=74
https://www.edurus.se/svea-betalningsvillkor/
https://www.svea.com/en-gb
https://thebanks.eu/banks/17519
https://thebanks.eu/banks/17589
https://thebanks.eu/banks/18339/products_and_services
https://pickthebank.eu/banks/sweden/svea-bank-ab-sveasess/
https://www.bloomberg.com/profile/company/0639778D:SS
https://thebanks.eu/brands/Svea_Bank
https://thebanks.eu/banks/19403
https://leadiq.com/c/svea-bank/5a1d96f223000059008595e1
https://www.linkedin.com/company/svea-bank
https://trygga.com/lana-pengar/langivare/svea-bank/
https://finansvalp.se/omdomen/svea-bank/privatlan
https://www.sambla.se/partners/svea-ekonomi/
https://www.mystep.se/kreditgivare/sveaekonomi
https://www.xn--lneguiden-52a.se/langivare/svea
https://www.kreditkoll.nu/kreditgivare/sveabank
https://www.svea.com/sv-se/privat/l%C3%A5na/privatl%C3%A5n/sveal%C3%A5net
https://www.svea.com/sv-se/privat/l%C3%A5na/privatl%C3%A5n/
https://www.svea.com/sv-se/privat/l%C3%A5na
https://www.xn--lnen-qoa.se/svea-ekonomi/</t>
  </si>
  <si>
    <t>Nominell ränta 6,95–21,95% (individuellt satt, rörlig). Effektiv ränta 8,87–29,99%. Uppläggningsavgift 395–495 SEK samt månadsavgift 25 SEK tillkommer. Kräver folkbokföring i Sverige sedan minst 3 år,</t>
  </si>
  <si>
    <t>Svenska Handelsbanken AB</t>
  </si>
  <si>
    <t>https://www.handelsbanken.se/sv/privat/andra-lan/privatlan</t>
  </si>
  <si>
    <t>7.80%</t>
  </si>
  <si>
    <t>16.08%</t>
  </si>
  <si>
    <t>https://www.kreditkoll.nu/kreditgivare/handelsbanken
https://www.handelsbanken.fi/sv/privat/villkor/standardiserad-europeisk-konsumentkreditinformation
https://www.mystep.se/kreditgivare/handelsbanken
https://www.handelsbanken.se/sv/privat/andra-lan/privatlan
https://www.handelsbanken.se/sv/privat/andra-lan/privatlan/avgifter-och-ranta-for-privatlanet
https://www.handelsbanken.se/sv/ekonomi-i-livet/privatekonomi/boendeekonomi/for-hushall/ranteskillnadsersattning
https://www.zmarta.se/tips-rad/om-lan/handelsbanken
https://www.handelsbanken.se/sv/om-oss/juridiska-dokument/villkor
https://normalaw.se/2025/04/03/nya-regler-i-konsumentkreditlagen-fr-o-m-1-mars-2025/
https://www.xn--lnen-qoa.se/handelsbanken/
https://www.handelsbanken.se/sv/privat/andra-lan/privatlan
https://www.handelsbanken.se/sv/om-oss/juridiska-dokument/prislistor-privat/prislista-lan/avgifter-och-ranta-for-privatlanet
https://www.zmarta.se/tips-rad/om-lan/handelsbanken
https://www.handelsbanken.se/sv/privat/bolan
https://www.konsumentguiden.se/lana-pengar/privatlan/handelsbanken-privatlan/
https://xn--svenskaprivatln-ulb.se/handelsbanken-privatlan/
https://www.handelsbanken.se/sv/privat/bolan/bolanerantor
https://www.mystep.se/kreditgivare/handelsbanken
https://www.kreditkoll.nu/kreditgivare/handelsbanken
https://www.handelsbanken.se/sv/privat/andra-lan/om-du-inte-kan-betala-ditt-lan</t>
  </si>
  <si>
    <t>Produkten kallas 'Privatlån Direkt' (ensam sökande, utan säkerhet, fast belopp 30 000–150 000 kr) respektive 'Privatlån' (flexibla villkor, en eller flera låntagare, individuellt belopp och ränta, kan</t>
  </si>
  <si>
    <t>Swedbank AB</t>
  </si>
  <si>
    <t>https://www.swedbank.se/privat/privatlan-och-krediter/privatlandirekt-ansok.html</t>
  </si>
  <si>
    <t>6.19%</t>
  </si>
  <si>
    <t>17.43%</t>
  </si>
  <si>
    <t>https://www.swedbank.se/privat/rantor-priser-och-kurser/lanetjanster.html
https://www.mystep.se/kreditgivare/swedbank
https://www.konsumentguiden.se/lana-pengar/privatlan/swedbank-privatlan/
https://www.kreditkoll.nu/kreditgivare/swedbank
https://www.swedbank.se/privat/privatlan-och-krediter/privatlandirekt-ansok.html
https://finansvalp.se/omdomen/swedbank/privatlan
https://laaneportalen.se/swedbank-privatlan/
https://www.xn--lnen-qoa.se/swedbank/
https://www.swedbank.se/privat/uppdaterade-villkor.html
https://www.swedbank.se/privat/privatlan-och-krediter/privatlandirekt-ansok/lana-30000.html
https://www.swedbank.com/corporate/financing.html
https://www.swedbank.se/en/private/mortgage/borrow-for-your-home.html
https://loanssweden.se/
https://quickloanarena.com/best-private-loans-sweden-2023/
https://www.swedbank.lt/private/credit/loans/newSmall?language=ENG
https://hypotek.swedbank.se/en/
https://loanssweden.se/personal-loans-sweden/
https://www.veryserial.com/private-loans-sweden-top-5-personal-loan/
https://www.swedbank.com/sustainability/responsible-business/finance.html
https://www.swedbank.com/about-swedbank/subsidiaries/swedbank-mortgage.html</t>
  </si>
  <si>
    <t>Räntan är rörlig och sätts individuellt baserat på kreditvärdighet (UC-upplysning). Uppläggningsavgift 300 SEK (0 SEK för Nyckelkunder); ingen aviavgift vid e-faktura. Lån utan säkerhet (blancolån). K</t>
  </si>
  <si>
    <t>TF Bank AB</t>
  </si>
  <si>
    <t>https://tfbank.se/</t>
  </si>
  <si>
    <t>9.90%</t>
  </si>
  <si>
    <t>16.40%</t>
  </si>
  <si>
    <t>200000</t>
  </si>
  <si>
    <t>10 år</t>
  </si>
  <si>
    <t>https://group.tfbank.se/en/
https://thebanks.eu/banks/17672
https://group.tfbank.se/en/tf-bank-in-brief/
https://pickthebank.eu/banks/sweden/tf-bank-ab-pullse21/
https://www.tfbankgroup.com/en/
https://www.zoominfo.com/c/tf-bank-ab/430518161
https://www.linkedin.com/company/tf-bank/
https://thebanks.eu/banks/19649
https://finance.yahoo.com/quote/TFBANK.ST/profile/
https://thebanks.eu/banks/18082/products_and_services
https://enklare.se/partners/tfbank/
https://www.mystep.se/kreditgivare/tfbank
https://tfbank.se/media/ph3l2f1h/villkor-tf-bank-nordic-privatlan.pdf
https://www.axofinans.se/om/bank/tf-bank
https://www.xn--lnen-qoa.se/tf-bank/
https://www.konsumentguiden.se/lana-pengar/privatlan/tf-bank/
https://tfbank.se/
https://www.ekonomifokus.se/bostad/lan/bolanerantor
https://enklare.se/lanetyper/privatlan/
https://www.lanupplysningen.se/privatlan/
https://www.mystep.se/kreditgivare/tfbank
https://www.xn--bankln-mua.nu/tf-bank/
https://www.xn--lnen-qoa.se/tf-bank/
https://credento.se/om-oss
https://enklare.se/partners/tfbank/
https://group.tfbank.se/sv/policyer-och-riktlinjer/
https://www.kreditkoll.nu/kreditgivare/tfbank
https://www.lanapengarguiden.se/lanetyper/privatlan/villkor/
https://xn--lnapengarutanavslag-0wb.com/blogg/tf-bank-lan-en-guide-for-smidig-finansiering/
https://www.finansportalen.se/privatlan/</t>
  </si>
  <si>
    <t xml:space="preserve">Osäkrat annuitetslån (privatlån) med rörlig, individuell ränta. Kreditupplysning sker hos UC. Uppläggningsavgift och månadsvis aviseringsavgift tillkommer. Enligt konsumentkreditlagen får räntan inte </t>
  </si>
  <si>
    <t>TF Bank Nordic AB</t>
  </si>
  <si>
    <t>6 years</t>
  </si>
  <si>
    <t>https://group.tfbank.se/en/tf-bank-in-brief/
https://thebanks.eu/banks/19649
https://group.tfbank.se/en/
https://news.cision.com/tf-bank-ab--publ-/r/tf-bank-s-swedish-subsidiary-has-been-granted-a-license-to-operate-as-a-deposit-taking-financial-ins,c4076645
https://pickthebank.eu/banks/sweden/tf-bank-ab-pullse21/
https://thebanks.eu/banks/17672
https://finance.yahoo.com/quote/TFBANK.ST/profile/
https://finance.yahoo.com/quote/TFBANK.ST/
https://www.linkedin.com/company/tf-bank/
https://www.rgk.se/en/our-operations/deposit-insurance/search-for-member-institutions/account-types-covered-by-the-insurance/tf-bank-nordic-ab/
https://thebanks.eu/banks/19649
https://group.tfbank.se/en/
https://group.tfbank.se/en/tf-bank-in-brief/
https://thebanks.eu/banks/17672
https://pickthebank.eu/banks/sweden/tf-bank-ab-pullse21/
https://www.linkedin.com/company/tf-bank/
https://news.cision.com/tf-bank-ab--publ-/r/tf-bank-s-swedish-subsidiary-has-been-granted-a-license-to-operate-as-a-deposit-taking-financial-ins,c4076645
https://www.zoominfo.com/c/tf-bank-ab/430518161
https://finance.yahoo.com/quote/TFBANK.ST/profile/
https://www.rgk.se/en/our-operations/deposit-insurance/search-for-member-institutions/account-types-covered-by-the-insurance/tf-bank-nordic-ab/
https://trygga.com/lana-pengar/langivare/credento/
https://likvidum.se/lana-pengar/langivare/credento/
https://xn--lnero-mra.se/langivare/credento/
https://credento.se/
https://www.mystep.se/kreditgivare/credento
https://www.loanbuddy.se/privatlan/credento
https://kreditium.se/loans/credento/
https://www.lanekoll.se/partners/credento
https://www.kreditkoll.nu/kreditgivare/credento
https://www.xn--lnea-qoa.se/sms-lan/recensioner/credento/</t>
  </si>
  <si>
    <t>TF Bank Nordic AB is the legal entity; the Swedish consumer loan product is marketed under the brand 'Credento'. Loans are unsecured annuity loans (blancolån) with individually set, variable nominal i</t>
  </si>
  <si>
    <t>Ulricehamns Sparbank</t>
  </si>
  <si>
    <t>https://www.ulricehamnssparbank.se/privat/privatlan-och-krediter/privatlandirekt-ansok.html</t>
  </si>
  <si>
    <t>https://www.ulricehamnssparbank.se/privat/privatlan-och-krediter/privatlandirekt-ansok.html
https://www.ulricehamnssparbank.se/privat/rantor-priser-och-kurser/spar-och-placeringstjanster.html
https://www.ulricehamnssparbank.se/privat/rantor-priser-och-kurser/lanetjanster.html
https://www.ulricehamnssparbank.se/privat/privatlan-och-krediter.html
https://www.ulricehamnssparbank.se/
https://www.ulricehamnssparbank.se/privat/boende-och-bolan.html
https://www.ulricehamnssparbank.se/privat/boende-och-bolan/bolanerantor.html
https://www.ulricehamnssparbank.se/privat/rantor-priser-och-kurser.html
https://www.ulricehamnssparbank.se/privat/boende-och-bolan/bolaneerbjudande.html
https://www.ulricehamnssparbank.se/privat/boende-och-bolan/rakna-pa-ditt-bolan/rorlig-eller-bunden-ranta.html
https://www.ulricehamnssparbank.se/
https://thebanks.eu/banks/17599
https://www.riksgalden.se/en/our-operations/deposit-insurance/search-for-member-institutions/account-types-covered-by-the-insurance/Ulricehamns-Sparbank/
https://www.zoominfo.com/c/ulricehamns-sparbank/431353462
https://www.ulricehamnssparbank.se/privat/digitala-tjanster/internetbanken.html
https://www.facebook.com/ulricehamnssparbank/?locale=sv_SE
https://www.bankplatser.nu/Public/Bankplats/11603
https://ulricehamnssparbank.teamtailor.com/pages/om-oss
https://ulricehamnssparbank.teamtailor.com/
https://www.sparbanken.se/om-oss.html
https://www.ulricehamnssparbank.se/privat/boende-och-bolan/bolanerantor.html
https://www.ulricehamnssparbank.se/privat/rantor-priser-och-kurser/lanetjanster.html
https://www.ulricehamnssparbank.se/privat/privatlan-och-krediter/privatlandirekt-ansok.html
https://www.ulricehamnssparbank.se/privat/boende-och-bolan.html
https://www.ulricehamnssparbank.se/privat/rantor-priser-och-kurser/spar-och-placeringstjanster.html
https://www.ulricehamnssparbank.se/privat/rantor-priser-och-kurser.html
https://www.ulricehamnssparbank.se/privat/spara-och-placera/sparkonton/fastrantekonto.html
https://www.ulricehamnssparbank.se/privat/boende-och-bolan/andra-ditt-bolan.html
https://www.ulricehamnssparbank.se/privat/rantor-priser-och-kurser/rantor.html
https://www.ulricehamnssparbank.se/privat/boende-och-bolan/bolaneerbjudande.html
https://www.ulricehamnssparbank.se/privat/privatlan-och-krediter/privatlandirekt-ansok.html
https://www.ulricehamnssparbank.se/privat/rantor-priser-och-kurser/lanetjanster.html
https://www.ulricehamnssparbank.se/privat/boende-och-bolan/ansok-om-lanelofte.html
https://www.ulricehamnssparbank.se/privat/boende-och-bolan.html
https://www.ulricehamnssparbank.se/
https://www.ulricehamnssparbank.se/privat/privatlan-och-krediter.html
https://www.ulricehamnssparbank.se/privat/rantor-priser-och-kurser/spar-och-placeringstjanster.html
https://www.ulricehamnssparbank.se/privat/boende-och-bolan/bolanerantor.html
https://www.ulricehamnssparbank.se/privat/boende-och-bolan/bolaneerbjudande.html
https://www.ulricehamnssparbank.se/privat/rantor-priser-och-kurser/rantor.html</t>
  </si>
  <si>
    <t>Unsecured personal loan (blancolån) with variable interest rate set individually based on borrower's financial circumstances (räntespann 6.20–16.34%, senaste ränteändring 2025-02-07). Straight-line (r</t>
  </si>
  <si>
    <t>Vadstena Sparbank</t>
  </si>
  <si>
    <t>https://www.vadstenasparbank.se/privat/privatlan-och-krediter/privatlandirekt-ansok.html</t>
  </si>
  <si>
    <t>https://www.vadstenasparbank.se/privat/privatlan-och-krediter/privatlandirekt-ansok.html
https://www.vadstenasparbank.se/privat/privatlan-och-krediter.html
https://www.vadstenasparbank.se/
https://www.vadstenasparbank.se/privat/privatlan-och-krediter/medlemslan.html
https://www.vadstenasparbank.se/privat/rantor-priser-och-kurser/lanetjanster.html
https://www.vadstenasparbank.se/privat/privatlan-och-krediter/kontokredit.html
https://www.vadstenasparbank.se/privat/kundservice-privat.html
https://www.vadstenasparbank.se/privat/bli-kund.html
https://www.vadstenasparbank.se/privat/privatlan-och-krediter/medlemslan/medlemskontokredit.html
https://www.vadstenasparbank.se/privat/spara-och-placera/sparkonton/fastrantekonto.html
https://www.vadstenasparbank.se/
https://www.vadstenasparbank.se/om-oss.html
https://www.vadstenasparbank.se/kontakta-oss.html
https://www.vadstenasparbank.se/privat/digitala-tjanster/internetbanken.html
https://thebanks.eu/banks/17601
https://www.bankplatser.nu/Public/Bankplats/11903
https://www.vadstenasparbank.se/privat/kundservice-privat.html
https://www.riksgalden.se/en/our-operations/deposit-insurance/search-for-member-institutions/account-types-covered-by-the-insurance/Vadstena-Sparbank/
https://www.vadstenasparbank.se/kontakta-oss/kontor.html
https://www.vadstenasparbank.se/privat/digitala-tjanster/bankid-dator.html
https://www.vadstenasparbank.se/privat/spara-och-placera/sparkonton/fastrantekonto.html
https://www.vadstenasparbank.se/privat/privatlan-och-krediter/privatlandirekt-ansok.html
https://www.vadstenasparbank.se/privat/rantor-priser-och-kurser/spar-och-placeringstjanster.html
https://www.vadstenasparbank.se/privat/rantor-priser-och-kurser/lanetjanster.html
https://www.vadstenasparbank.se/privat/rantor-priser-och-kurser/rantor.html
https://www.vadstenasparbank.se/privat/boende-och-bolan/bolanerantor.html
https://www.vadstenasparbank.se/privat/boende-och-bolan/flytta-ditt-bolan-till-oss.html
https://www.vadstenasparbank.se/privat/rantor-priser-och-kurser/betalningstjanster.html
https://www.vadstenasparbank.se/
https://www.vadstenasparbank.se/foretag/rantor-priser-och-kurser/rantor.html</t>
  </si>
  <si>
    <t>Privatlån (PrivatlånDirekt) utan säkerhet. Räntan är rörlig och sätts individuellt utifrån sökandens ekonomiska förutsättningar (räntespann 5,95–16,09 %, senast ändrad 2025-10-03). Återbetalningstid 1</t>
  </si>
  <si>
    <t>Vimmerby Sparbank AB</t>
  </si>
  <si>
    <t>https://www.vimmerbysparbank.se/privat/privatlan-och-krediter/privatlandirekt-ansok.html</t>
  </si>
  <si>
    <t>https://www.vimmerbysparbank.se/
https://xn--lnesidor-9za.se/vimmerby-sparbank/
https://www.riksgalden.se/var-verksamhet/insattningsgarantin-och-investerarskyddet/sok-anslutna-banker-och-institut/kontoslag-som-omfattas/Vimmerby-Sparbank-AB/
https://www.vimmerbysparbank.se/privat/boende-och-bolan/rakna-pa-ditt-bolan/rorlig-eller-bunden-ranta.html
https://thebanks.eu/banks/17607
https://www.vimmerbysparbank.se/privat/privatlan-och-krediter/privatlandirekt-ansok.html
https://www.allabolag.se/5164010174/vimmerby-sparbank-ab
https://se.linkedin.com/company/vimmerby-sparbank
https://www.eniro.se/vimmerby+sparbank+ab+vimmerby/4013820/firma
https://www.vimmerbysparbank.se/privat/boende-och-bolan/fastighetsbyran.html
https://www.vimmerbysparbank.se/
https://thebanks.eu/banks/17607
https://www.crunchbase.com/organization/vimmerby-sparbank
https://www.riksgalden.se/en/our-operations/deposit-insurance/search-for-member-institutions/account-types-covered-by-the-insurance/Vimmerby-Sparbank-AB/
https://www.facebook.com/p/Vimmerby-Sparbank-61556707192761/
https://www.zoominfo.com/c/vimmerby-sparbank-ab/425699575
https://www.bankplatser.nu/Public/Bankplats/11898
https://www.allabolag.se/5164010174/vimmerby-sparbank-ab
https://se.linkedin.com/company/vimmerby-sparbank
https://sv.wikipedia.org/wiki/Vimmerby_Sparbank
https://www.vimmerbysparbank.se/privat/privatlan-och-krediter/privatlandirekt-ansok.html
https://www.vimmerbysparbank.se/privat/privatlan-och-krediter/samla-lanen.html
https://www.vimmerbysparbank.se/privat/boende-och-bolan/rakna-pa-ditt-bolan/rorlig-eller-bunden-ranta.html
https://www.vimmerbysparbank.se/privat/boende-och-bolan/fastighetsbyran-bolaneerbjudande.html
https://www.vimmerbysparbank.se/privat/boende-och-bolan/flytta-ditt-bolan-till-oss.html
https://www.vimmerbysparbank.se/privat/boende-och-bolan.html
https://www.vimmerbysparbank.se/privat/boende-och-bolan/ansok-om-bolan.html
https://www.vimmerbysparbank.se/privat/spara-och-placera/sparkonton/fastrantekonto.html
https://www.vimmerbysparbank.se/privat/boende-och-bolan/bolan-for-olika-behov/bolan-lo-medlemmar.html
https://www.vimmerbysparbank.se/foretag/foretagslan-och-finansiera/banklan.html
https://www.vimmerbysparbank.se/privat/privatlan-och-krediter/privatlandirekt-ansok.html
https://www.vimmerbysparbank.se/privat/privatlan-och-krediter/samla-lanen.html
https://www.vimmerbysparbank.se/foretag/foretagslan-och-finansiera/banklan.html
https://www.vimmerbysparbank.se/privat/privatlan-och-krediter.html
https://www.vimmerbysparbank.se/privat/boende-och-bolan.html
https://www.vimmerbysparbank.se/privat/boende-och-bolan/rakna-pa-ditt-bolan/amortering-och-amorteringskrav.html
https://www.vimmerbysparbank.se/
https://www.xn--lnen-qoa.se/hur-mycket-far-jag-lana/
https://www.vimmerbysparbank.se/privat/boende-och-bolan/fastighetsbyran-bolaneerbjudande.html
https://www.vimmerbysparbank.se/privat.html</t>
  </si>
  <si>
    <t>Unsecured personal loan (blancolån) with individually set variable interest rate of 5.95%–16.09% (last updated 2025-10-03). Effective APR on a representative SEK 100,000 / 5-year example is 8.15% (8.0</t>
  </si>
  <si>
    <t>Virserums Sparbank</t>
  </si>
  <si>
    <t>https://www.virserumssparbank.se/privat/privatlan-och-krediter/privatlandirekt-ansok.html</t>
  </si>
  <si>
    <t>5.00%</t>
  </si>
  <si>
    <t>https://www.virserumssparbank.se/privat/privatlan-och-krediter/privatlandirekt-ansok.html
https://www.bank24.se/konsumentkredit/
https://www.virserumssparbank.se/privat/privatlan-och-krediter/medlemslan.html
https://advisa.se/langivare/konsumentkredit/
https://www.kreditkoll.nu/kreditgivare/konsumentkredit
https://www.loanbuddy.se/privatlan/konsumentkredit
https://www.virserumssparbank.se/privat/kort/kreditkort/handla-tryggare-med-kreditkort.html
https://trygga.com/lana-pengar/konsumentkredit/
https://www.virserumssparbank.se/privat/privatlan-och-krediter/kontokredit.html
https://www.ordnabolan.se/privatlan/omdome/konsumentkredit/
https://www.virserumssparbank.se/
https://www.crunchbase.com/organization/virserums-sparbank
https://www.virserum.se/naringsliv/service/virserums-sparbank/
https://www.facebook.com/virserumssparbank/?locale=sv_SE
https://thebanks.eu/banks/17608
https://www.virserumssparbank.se/om-oss/kontakta-oss.html
https://lexly.se/partners/virserums-sparbank
https://www.virserumssparbank.se/privat/digitala-tjanster/mobilt-bankid.html
https://www.virserumssparbank.se/privat/spara-och-placera/sparkonton.html
https://www.virserumssparbank.se/foretag/verksamhet.html
https://www.virserumssparbank.se/privat/privatlan-och-krediter/privatlandirekt-ansok.html
https://www.virserumssparbank.se/privat/privatlan-och-krediter/medlemslan.html
https://www.virserumssparbank.se/privat/spara-och-placera/sparkonton/fastrantekonto.html
https://www.virserumssparbank.se/privat/boende-och-bolan/hoj-bolan.html
https://www.virserumssparbank.se/privat/boende-och-bolan/rakna-pa-ditt-bolan/amortering-och-amorteringskrav/nya-amorteringsregler---sa-paverkas-du.html
https://www.virserumssparbank.se/privat/boende-och-bolan/rakna-pa-ditt-bolan.html
https://www.riksgalden.se/sv/var-verksamhet/insattningsgarantin-och-investerarskyddet/sok-anslutna-banker-och-institut/kontoslag-som-omfattas/Virserums-Sparbank/
https://www.virserumssparbank.se/privat/digitala-tjanster/internetbanken/fragor-och-svar-om-internetbanken-for-privatpersoner.html
https://www.konsumentguiden.se/lana-pengar/privatlan/swedbank-privatlan/
https://www.virserumssparbank.se/privat.html</t>
  </si>
  <si>
    <t>Variable (rörlig) interest rate, last updated 2025-10-20. Representative example: 100,000 SEK at 7.73% nominal rate, 5-year straight-line amortisation, effective APR 8.28%, total repayment 120,197 SEK</t>
  </si>
  <si>
    <t>Westra Wermlands Sparbank</t>
  </si>
  <si>
    <t>https://www.wwsparbank.se/privat/privatlan-och-krediter/privatlandirekt-ansok.html</t>
  </si>
  <si>
    <t>https://www.wwsparbank.se/
https://www.wwsparbank.se/privat/boende-och-bolan/bolan-for-olika-behov.html
https://www.wwsparbank.se/privat/privatlan-och-krediter/privatlandirekt-ansok.html
https://www.wwsparbank.se/privat/boende-och-bolan.html
https://www.wwsparbank.se/privat/boende-och-bolan/ansok-om-bolan.html
https://www.wwsparbank.se/privat/boende-och-bolan/rakna-pa-ditt-bolan.html
https://www.wwsparbank.se/privat/kort/kreditkort.html
https://www.wwsparbank.se/privat/boende-och-bolan/genomsnittsrantor.html
https://www.wwsparbank.se/privat/boende-och-bolan/bolanerantor.html
https://www.wwsparbank.se/privat/kort/kortvillkor.html
https://www.wwsparbank.se/privat/boende-och-bolan/bolanerantor.html
https://www.wwsparbank.se/privat/boende-och-bolan.html
https://www.wwsparbank.se/
https://www.wwsparbank.se/privat/boende-och-bolan/rakna-pa-ditt-bolan.html
https://www.wwsparbank.se/privat/privatlan-och-krediter/privatlandirekt-ansok.html
https://www.wwsparbank.se/privat/boende-och-bolan/ansok-om-bolan.html
https://www.wwsparbank.se/privat/boende-och-bolan/andra-ditt-bolan.html
https://www.wwsparbank.se/privat/boende-och-bolan/bolan-ung.html
https://www.wwsparbank.se/privat/boende-och-bolan/flytta-ditt-bolan-till-oss.html
https://www.wwsparbank.se/privat/boende-och-bolan/rakna-pa-ditt-bolan/rorlig-eller-bunden-ranta.html</t>
  </si>
  <si>
    <t>Variable (rörlig) interest rate currently 7.98% (last changed 2025-07-07); nominal rate span 5.70%–15.84%. Representative example: 100 000 SEK over 5 years at 7.98% gives effective APR 8.42%, total re</t>
  </si>
  <si>
    <t>Domain</t>
  </si>
  <si>
    <t>Times CITED
(shaped answers)</t>
  </si>
  <si>
    <t>thebanks.eu</t>
  </si>
  <si>
    <t>kreditkoll.nu</t>
  </si>
  <si>
    <t>riksgalden.se</t>
  </si>
  <si>
    <t>mystep.se</t>
  </si>
  <si>
    <t>facebook.com</t>
  </si>
  <si>
    <t>crunchbase.com</t>
  </si>
  <si>
    <t>trygga.com</t>
  </si>
  <si>
    <t>zoominfo.com</t>
  </si>
  <si>
    <t>finansvalp.se</t>
  </si>
  <si>
    <t>allabolag.se</t>
  </si>
  <si>
    <t>xn--lnen-qoa.se</t>
  </si>
  <si>
    <t>konsumentguiden.se</t>
  </si>
  <si>
    <t>bank24.se</t>
  </si>
  <si>
    <t>payup.se</t>
  </si>
  <si>
    <t>sambla.se</t>
  </si>
  <si>
    <t>advisa.se</t>
  </si>
  <si>
    <t>bloomberg.com</t>
  </si>
  <si>
    <t>linkedin.com</t>
  </si>
  <si>
    <t>lanekoll.se</t>
  </si>
  <si>
    <t>se.linkedin.com</t>
  </si>
  <si>
    <t>fi.se</t>
  </si>
  <si>
    <t>sparbankenskane.se</t>
  </si>
  <si>
    <t>ordnabolan.se</t>
  </si>
  <si>
    <t>kreditium.se</t>
  </si>
  <si>
    <t>pickthebank.eu</t>
  </si>
  <si>
    <t>enklare.se</t>
  </si>
  <si>
    <t>sparbanken.se</t>
  </si>
  <si>
    <t>ekonomifokus.se</t>
  </si>
  <si>
    <t>cbinsights.com</t>
  </si>
  <si>
    <t>news.cision.com</t>
  </si>
  <si>
    <t>creditsafe.com</t>
  </si>
  <si>
    <t>sparbankennord.se</t>
  </si>
  <si>
    <t>bankplatser.nu</t>
  </si>
  <si>
    <t>xn--privatlnlistan-rib.se</t>
  </si>
  <si>
    <t>xn--lnea-qoa.se</t>
  </si>
  <si>
    <t>tracxn.com</t>
  </si>
  <si>
    <t>xn--svenskaprivatln-ulb.se</t>
  </si>
  <si>
    <t>en.wikipedia.org</t>
  </si>
  <si>
    <t>play.google.com</t>
  </si>
  <si>
    <t>lexly.se</t>
  </si>
  <si>
    <t>finance.yahoo.com</t>
  </si>
  <si>
    <t>credento.se</t>
  </si>
  <si>
    <t>sv.wikipedia.org</t>
  </si>
  <si>
    <t>hitta.se</t>
  </si>
  <si>
    <t>oppettider.net</t>
  </si>
  <si>
    <t>6sense.com</t>
  </si>
  <si>
    <t>hittalanet.se</t>
  </si>
  <si>
    <t>nib.int</t>
  </si>
  <si>
    <t>finansklubben.se</t>
  </si>
  <si>
    <t>lansforsakringar.se</t>
  </si>
  <si>
    <t>kapitalkoll.se</t>
  </si>
  <si>
    <t>finansfreak.se</t>
  </si>
  <si>
    <t>lanupplysningen.se</t>
  </si>
  <si>
    <t>ecbs.org</t>
  </si>
  <si>
    <t>nordiccreditrating.com</t>
  </si>
  <si>
    <t>sparbankensjuharad.se</t>
  </si>
  <si>
    <t>leadiq.com</t>
  </si>
  <si>
    <t>zmarta.se</t>
  </si>
  <si>
    <t>normalaw.se</t>
  </si>
  <si>
    <t>laaneportalen.se</t>
  </si>
  <si>
    <t>loanssweden.se</t>
  </si>
  <si>
    <t>group.tfbank.se</t>
  </si>
  <si>
    <t>tfbank.se</t>
  </si>
  <si>
    <t>xn--lnero-mra.se</t>
  </si>
  <si>
    <t>loanbuddy.se</t>
  </si>
  <si>
    <t>xn--lnesidor-9za.se</t>
  </si>
  <si>
    <t>eniro.se</t>
  </si>
  <si>
    <t>pitchbook.com</t>
  </si>
  <si>
    <t>trustpilot.com</t>
  </si>
  <si>
    <t>dnb.com</t>
  </si>
  <si>
    <t>nordeafinance.se</t>
  </si>
  <si>
    <t>nordea.se</t>
  </si>
  <si>
    <t>bolagsfakta.se</t>
  </si>
  <si>
    <t>lsb.se</t>
  </si>
  <si>
    <t>sparbankeneken.se</t>
  </si>
  <si>
    <t>opensanctions.org</t>
  </si>
  <si>
    <t>icabanken.se</t>
  </si>
  <si>
    <t>ica.bank.se</t>
  </si>
  <si>
    <t>ikanobank.se</t>
  </si>
  <si>
    <t>konsumentkredit.se</t>
  </si>
  <si>
    <t>ikea.finansiering.bank.ikano</t>
  </si>
  <si>
    <t>falkenbergssparbank.se</t>
  </si>
  <si>
    <t>xn--snittrnta-02a.se</t>
  </si>
  <si>
    <t>ir.morrowbank.com</t>
  </si>
  <si>
    <t>vinge.se</t>
  </si>
  <si>
    <t>jitta.com</t>
  </si>
  <si>
    <t>kistefos.no</t>
  </si>
  <si>
    <t>simplywall.st</t>
  </si>
  <si>
    <t>mfn.se</t>
  </si>
  <si>
    <t>morrowbank.se</t>
  </si>
  <si>
    <t>morrowbank.com</t>
  </si>
  <si>
    <t>documenthandler.resurs.com</t>
  </si>
  <si>
    <t>resursbank.se</t>
  </si>
  <si>
    <t>krea.se</t>
  </si>
  <si>
    <t>northmill.com</t>
  </si>
  <si>
    <t>preqin.com</t>
  </si>
  <si>
    <t>raisin.com</t>
  </si>
  <si>
    <t>kreditval.se</t>
  </si>
  <si>
    <t>sbab.se</t>
  </si>
  <si>
    <t>xn--affrslivet-s5a.com</t>
  </si>
  <si>
    <t>sverigekredit.se</t>
  </si>
  <si>
    <t>sab.com</t>
  </si>
  <si>
    <t>apps.apple.com</t>
  </si>
  <si>
    <t>seb.se</t>
  </si>
  <si>
    <t>loanscouter.com</t>
  </si>
  <si>
    <t>sebgroup.com</t>
  </si>
  <si>
    <t>webapp.sebgroup.com</t>
  </si>
  <si>
    <t>weforum.org</t>
  </si>
  <si>
    <t>sparbankenbergslagen.se</t>
  </si>
  <si>
    <t>sparbankenmalardalen.se</t>
  </si>
  <si>
    <t>sparbankenvm.se</t>
  </si>
  <si>
    <t>sparbanksstiftelsenvm.se</t>
  </si>
  <si>
    <t>sparbankenskaraborg.se</t>
  </si>
  <si>
    <t>svea.com</t>
  </si>
  <si>
    <t>golvpoolen.se</t>
  </si>
  <si>
    <t>wexthuset.com</t>
  </si>
  <si>
    <t>edurus.se</t>
  </si>
  <si>
    <t>xn--lneguiden-52a.se</t>
  </si>
  <si>
    <t>sparbankenspira.se</t>
  </si>
  <si>
    <t>handelsbanken.fi</t>
  </si>
  <si>
    <t>handelsbanken.se</t>
  </si>
  <si>
    <t>swedbank.se</t>
  </si>
  <si>
    <t>swedbank.com</t>
  </si>
  <si>
    <t>quickloanarena.com</t>
  </si>
  <si>
    <t>swedbank.lt</t>
  </si>
  <si>
    <t>hypotek.swedbank.se</t>
  </si>
  <si>
    <t>veryserial.com</t>
  </si>
  <si>
    <t>sormlandssparbank.se</t>
  </si>
  <si>
    <t>tfbankgroup.com</t>
  </si>
  <si>
    <t>axofinans.se</t>
  </si>
  <si>
    <t>xn--bankln-mua.nu</t>
  </si>
  <si>
    <t>lanapengarguiden.se</t>
  </si>
  <si>
    <t>xn--lnapengarutanavslag-0wb.com</t>
  </si>
  <si>
    <t>finansportalen.se</t>
  </si>
  <si>
    <t>rgk.se</t>
  </si>
  <si>
    <t>likvidum.se</t>
  </si>
  <si>
    <t>stacc.com</t>
  </si>
  <si>
    <t>media.umbraco.io</t>
  </si>
  <si>
    <t>avidafinance.com</t>
  </si>
  <si>
    <t>vimmerbysparbank.se</t>
  </si>
  <si>
    <t>brixo.se</t>
  </si>
  <si>
    <t>brixo-ab.wheree.com</t>
  </si>
  <si>
    <t>rivalsense.co</t>
  </si>
  <si>
    <t>smslansnabb.se</t>
  </si>
  <si>
    <t>bank.se</t>
  </si>
  <si>
    <t>crowdinform.com</t>
  </si>
  <si>
    <t>thecrowdspace.com</t>
  </si>
  <si>
    <t>p2ug.com</t>
  </si>
  <si>
    <t>prnewswire.com</t>
  </si>
  <si>
    <t>broccfinance.com</t>
  </si>
  <si>
    <t>brocc.se</t>
  </si>
  <si>
    <t>cdn.brocc.se</t>
  </si>
  <si>
    <t>view.news.eu.nasdaq.com</t>
  </si>
  <si>
    <t>ensun.io</t>
  </si>
  <si>
    <t>practiceguides.chambers.com</t>
  </si>
  <si>
    <t>lendo.group</t>
  </si>
  <si>
    <t>credigo.se</t>
  </si>
  <si>
    <t>lffinans.se</t>
  </si>
  <si>
    <t>secure246.lansforsakringar.se</t>
  </si>
  <si>
    <t>nordic9.com</t>
  </si>
  <si>
    <t>eu-credits.com</t>
  </si>
  <si>
    <t>monitorcm.se</t>
  </si>
  <si>
    <t>moank.se</t>
  </si>
  <si>
    <t>xn--dittln-mua.se</t>
  </si>
  <si>
    <t>comparia.se</t>
  </si>
  <si>
    <t>kredit.nu</t>
  </si>
  <si>
    <t>ekonomival.se</t>
  </si>
  <si>
    <t>nordea.com</t>
  </si>
  <si>
    <t>nordeafinance.fi</t>
  </si>
  <si>
    <t>nordea.fi</t>
  </si>
  <si>
    <t>nordeafunds.com</t>
  </si>
  <si>
    <t>fdic.gov</t>
  </si>
  <si>
    <t>bjursassparbank.se</t>
  </si>
  <si>
    <t>sparbankerna.se</t>
  </si>
  <si>
    <t>hogsbysparbank.se</t>
  </si>
  <si>
    <t>moneezy.se</t>
  </si>
  <si>
    <t>ivetoftasparbank.se</t>
  </si>
  <si>
    <t>issuu.com</t>
  </si>
  <si>
    <t>bromolla.se</t>
  </si>
  <si>
    <t>laholmssparbank.se</t>
  </si>
  <si>
    <t>leksandssparbank.se</t>
  </si>
  <si>
    <t>lekebergssparbank.se</t>
  </si>
  <si>
    <t>rocketreach.co</t>
  </si>
  <si>
    <t>ltvsparbank.se</t>
  </si>
  <si>
    <t>xn--lnefrmedlarguiden-8qb04a.se</t>
  </si>
  <si>
    <t>roslagenssparbank.se</t>
  </si>
  <si>
    <t>markarydssparbank.se</t>
  </si>
  <si>
    <t>ampliz.com</t>
  </si>
  <si>
    <t>salasparbank.se</t>
  </si>
  <si>
    <t>bokasalasparbank.se</t>
  </si>
  <si>
    <t>mynewsdesk.com</t>
  </si>
  <si>
    <t>skurupssparbank.se</t>
  </si>
  <si>
    <t>lusha.com</t>
  </si>
  <si>
    <t>loggainse.com</t>
  </si>
  <si>
    <t>sidensjosparbank.se</t>
  </si>
  <si>
    <t>cesam.nu</t>
  </si>
  <si>
    <t>sparbankengotland.se</t>
  </si>
  <si>
    <t>nordnet.se</t>
  </si>
  <si>
    <t>sparbankensyd.se</t>
  </si>
  <si>
    <t>saastopankki.fi</t>
  </si>
  <si>
    <t>aurigininc.com</t>
  </si>
  <si>
    <t>cbonds.com</t>
  </si>
  <si>
    <t>sparbankenikarlshamn.se</t>
  </si>
  <si>
    <t>sparbankentanum.se</t>
  </si>
  <si>
    <t>vastsverige.com</t>
  </si>
  <si>
    <t>spbtanum.se</t>
  </si>
  <si>
    <t>vadstenasparbank.se</t>
  </si>
  <si>
    <t>ulricehamnssparbank.se</t>
  </si>
  <si>
    <t>ulricehamnssparbank.teamtailor.com</t>
  </si>
  <si>
    <t>virserumssparbank.se</t>
  </si>
  <si>
    <t>virserum.se</t>
  </si>
  <si>
    <t>wwsparbank.se</t>
  </si>
  <si>
    <t>facitbank.se</t>
  </si>
  <si>
    <t>testzone-v2.facitbank.se</t>
  </si>
  <si>
    <t>sdc.dk</t>
  </si>
  <si>
    <t>merinfo.se</t>
  </si>
  <si>
    <t>riksbank.se</t>
  </si>
  <si>
    <t>regeringen.se</t>
  </si>
  <si>
    <t>omprivatekonomi.se</t>
  </si>
  <si>
    <t>konsumentverket.se</t>
  </si>
  <si>
    <t>santanderconsumer.se</t>
  </si>
  <si>
    <t>avanza.se</t>
  </si>
  <si>
    <t>live.euronext.com</t>
  </si>
  <si>
    <t>santander.com</t>
  </si>
  <si>
    <t>support.payever.org</t>
  </si>
  <si>
    <t>santanderconsumer.no</t>
  </si>
  <si>
    <t>trustfinance.com</t>
  </si>
  <si>
    <t>Claude Sonnet 4.6 + web_search — Summary</t>
  </si>
  <si>
    <t>Count</t>
  </si>
  <si>
    <t>Metric</t>
  </si>
  <si>
    <t>Value</t>
  </si>
  <si>
    <t>Total lenders</t>
  </si>
  <si>
    <t>Web searches triggered</t>
  </si>
  <si>
    <t>Total web searches run</t>
  </si>
  <si>
    <t>Total cited URLs/domains</t>
  </si>
  <si>
    <t>Banks with any citation</t>
  </si>
  <si>
    <t>Avg searches per lender</t>
  </si>
  <si>
    <t>Banks with empty Min APR</t>
  </si>
  <si>
    <t>Methodology</t>
  </si>
  <si>
    <t>Model</t>
  </si>
  <si>
    <t>claude-sonnet-4-6 (Anthropic Messages API)</t>
  </si>
  <si>
    <t>Endpoint</t>
  </si>
  <si>
    <t>https://api.anthropic.com/v1/messages</t>
  </si>
  <si>
    <t>Web search tool</t>
  </si>
  <si>
    <t>web_search_20250305 — Anthropic's built-in server-side web search. max_uses=5 per call.</t>
  </si>
  <si>
    <t>Date run</t>
  </si>
  <si>
    <t>April 2026</t>
  </si>
  <si>
    <t>Citation behavior</t>
  </si>
  <si>
    <t>Claude's web_search tool returns server_tool_result blocks containing web_search_results with url, title, and snippet for each source consulted.</t>
  </si>
  <si>
    <t>Reliability</t>
  </si>
  <si>
    <t>Concurrency=3, 51/51 successful with automatic retries for rate-limited requests.</t>
  </si>
  <si>
    <t>Input data</t>
  </si>
  <si>
    <t>Dataset With Banks For AI Search - Sheet1.csv — 51 Swedish/Scandinavian credit institutions</t>
  </si>
  <si>
    <t>Purpose</t>
  </si>
  <si>
    <t>Mimics a real user asking 'What are the loan terms for [Bank]?' — the model decides whether to search and returns structured JSON.</t>
  </si>
  <si>
    <t>Caveat</t>
  </si>
  <si>
    <t>Rates and terms change. This data reflects live web results as of the run date.</t>
  </si>
  <si>
    <t>Claude Sonnet 4.6 + web_search — run_2 — APR rate-type classification</t>
  </si>
  <si>
    <t>Labels: effective = 'effektiv ränta' (Swedish APR). nominal = 'nominell' / 'årsränta' / 'rörlig ränta' / 'fast ränta' / 'kreditränta'. representative_example = 'räkneexempel' / 'representativt exempel'. unlabeled = no anchor within 80 chars of the APR number in this provider's cached response.</t>
  </si>
  <si>
    <t>Classification reads only this provider's own cached response (apr_range → notes → citation snippets). Ground-truth data is NOT consulted.</t>
  </si>
  <si>
    <t>APR Raw (from model)</t>
  </si>
  <si>
    <t>Rate Type</t>
  </si>
  <si>
    <t>Anchor Evidence</t>
  </si>
  <si>
    <t>Source Field</t>
  </si>
  <si>
    <t>6.00% - 17.17%</t>
  </si>
  <si>
    <t>effective</t>
  </si>
  <si>
    <t>effektiv ränta</t>
  </si>
  <si>
    <t>notes</t>
  </si>
  <si>
    <t>6.75% - 18.56%</t>
  </si>
  <si>
    <t>nominal</t>
  </si>
  <si>
    <t>rörlig ränta</t>
  </si>
  <si>
    <t>8.82% - 16.84% (effective APR; nominal rate range 6.70%–16.84% as of 2024-11-15; Nyckelkund (preferred customer) rate as low as 8.82% effective)</t>
  </si>
  <si>
    <t>APR</t>
  </si>
  <si>
    <t>apr_range</t>
  </si>
  <si>
    <t>6.98% - 19.13%</t>
  </si>
  <si>
    <t>unlabeled</t>
  </si>
  <si>
    <t>no_anchor_near_apr</t>
  </si>
  <si>
    <t>7.00% - 18.25% (nominell ränta; effektiv ränta exemplifieras till 10.49% vid 165 000 kr / 10 år)</t>
  </si>
  <si>
    <t>up to 32.54% (variable, individually set; representative example: 8.80% effective APR on 100 000 SEK over 8 years)</t>
  </si>
  <si>
    <t>9.71% - 29.34%</t>
  </si>
  <si>
    <t>4.85% - 9.30%</t>
  </si>
  <si>
    <t>6.20% - 13.65%</t>
  </si>
  <si>
    <t>5.95% - 16.09%</t>
  </si>
  <si>
    <t>5.95% - 16.09% (nominal, rörlig; effektiv ränta ca 8.15% på exempellån 100 000 kr / 5 år)</t>
  </si>
  <si>
    <t>5.95% - 16.09% (nominell rörlig ränta; effektiv ränta ca 8.15% vid 100 000 SEK / 5 år för standardkund)</t>
  </si>
  <si>
    <t>7.26% - ~16.9% (effective/actual APR; nominal rate range 6.90% - 15.90% as of 2025-10-21)</t>
  </si>
  <si>
    <t>~8.01% (representative example); nominal rate range 5.95% – 17.15%</t>
  </si>
  <si>
    <t>representative_example</t>
  </si>
  <si>
    <t>representative example</t>
  </si>
  <si>
    <t>8.87% - 29.99%</t>
  </si>
  <si>
    <t>Effektiv ränta</t>
  </si>
  <si>
    <t>8.15% - ~16.09% (effective annual rate; example: 100,000 SEK at 7.73% nominal over 5 years = 8.15% APR for standard customers, 8.01% for Nyckelkund; nominal rate range 5.95%–16.09%)</t>
  </si>
  <si>
    <t>7.80% - 16.08%</t>
  </si>
  <si>
    <t>ca. 6.19% - 17.43% (effektiv ränta; nominell räntespann 5.95% - 16.09%, senaste ränteändring 2025-10-03)</t>
  </si>
  <si>
    <t>8.15% - ~18%+ (nominal rate range: 5.95% - 16.09%; effective APR example: 8.15% for non-Nyckelkund, 8.01% for Nyckelkund, based on 100 000 SEK over 5 years at 7.73%)</t>
  </si>
  <si>
    <t>9.90% - 16.40%</t>
  </si>
  <si>
    <t>14.82% - 29.27%</t>
  </si>
  <si>
    <t>11.15% - 29.50%</t>
  </si>
  <si>
    <t>8.01% - calculated high (nominal rate range 5.95% - 16.09%); representative example: 8.15% APR (8.01% for Nyckelkund) on SEK 100,000 over 5 years</t>
  </si>
  <si>
    <t>22.8% (privatlån, effective) – 24.3% (kontokredit, effective)</t>
  </si>
  <si>
    <t>5.76% - 29.99%</t>
  </si>
  <si>
    <t>8.25% (representative example at 6.95% nominal, 5-year term); nominal rate range 6.95% – 14.75% (April 2026); effective APR varies individually</t>
  </si>
  <si>
    <t>8.20% - 27.22%</t>
  </si>
  <si>
    <t>7.18% (representative example; individual rate based on creditworthiness – nominal rate 5.99% in published example as of 2025-10-09)</t>
  </si>
  <si>
    <t>6.20% - 16.34%</t>
  </si>
  <si>
    <t>Räkneexempel</t>
  </si>
  <si>
    <t>8.01% - ~16.34%+ (effective rate; nominal rate range 6.20%–16.34%, variable, last updated 2025-10-22; Nyckelkund [Key Customer] rate from 8.01%)</t>
  </si>
  <si>
    <t>nominal rate</t>
  </si>
  <si>
    <t>8.15% - 16.09% (effective annual rate; nominal rate span 5.95% - 16.09%, individually set)</t>
  </si>
  <si>
    <t>8.15% - (up to ~16.09% nominal rate ceiling); effective rate 8.01% for Nyckelkund at example rate of 7.73%</t>
  </si>
  <si>
    <t>8.01% - 16.09% (effective annual rate; nominal rate range 5.95% - 16.09% as of 2025-10-03; standard APR example: 8.15%, Nyckelkund (key customer) APR: 8.01%)</t>
  </si>
  <si>
    <t>8.56% - ~16.30% (effective; nominal rate range 6.40%–15.10%, last updated 2025-02-19)</t>
  </si>
  <si>
    <t>7.91% - 16.34% (effective/APR; interest rate span 6.84%–16.34% nominal, rörlig)</t>
  </si>
  <si>
    <t>8.96% - 16.84% (effective/APR; nominal rate range 6.70%–16.84% as of 2024-11-15; example APR 8.96% for standard, 8.82% for Nyckelkund on 100 000 SEK / 5 yr)</t>
  </si>
  <si>
    <t>8.15% - 16.09% (effective/APR); nominal rate range 5.95% - 16.09% as of 2025-10-03</t>
  </si>
  <si>
    <t>5.70% - 15.84% (nominal/kreditränta, rörlig, individuellt bestämd; effektiv ränta ca 8.42% vid exempelbelopp 100 000 kr, senast ändrad 2025-02-12)</t>
  </si>
  <si>
    <t>8.28% - approx. 16.34%+ (effective rate; nominal rate range 6.20%–16.34%; base example: 8.42% effective, or 8.28% for Nyckelkund status)</t>
  </si>
  <si>
    <t>Effective APR example: 8.42% (8.28% for Nyckelkund); nominal rate range 6.40% – 16.95% (last updated 2025-02-24)</t>
  </si>
  <si>
    <t>8.42% (representative example at 7.98% nominal variable rate); nominal rate span 5.45% – 10.30%</t>
  </si>
  <si>
    <t>5.67% - ~9.84% (effective/effektiv ränta; nominal rate range 5.39% - 9.39%)</t>
  </si>
  <si>
    <t>Effective APR ~8.56% (example at 7.98% nominal); nominal interest rate range 6.20% – 16.34% (variable, last updated 2025-02-14)</t>
  </si>
  <si>
    <t>6.20% - 16.34% (nominal); effective APR example: 8.42% (standard) / 8.28% (Nyckelkund) on 100 000 SEK over 5 years — as of last rate update 2025-02-07</t>
  </si>
  <si>
    <t>8.28% (representative example at 100,000 SEK / 5 years); nominal rate range 6.18% – 14.70%</t>
  </si>
  <si>
    <t>8.42% (representative example; nominal rate span 5.70% – 15.84%)</t>
  </si>
  <si>
    <t>5.24% - 13.97%</t>
  </si>
  <si>
    <t>9.82% - 18.91%</t>
  </si>
  <si>
    <t>7.17% - 16.53%</t>
  </si>
  <si>
    <t>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</si>
</sst>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13.0"/>
      <color rgb="FFFFFFFF"/>
      <name val="Arial"/>
    </font>
    <font/>
    <font>
      <b/>
      <sz val="13.0"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AEEF3"/>
        <bgColor rgb="FFDAEE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DE7"/>
        <bgColor rgb="FFFFFDE7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305496"/>
        <bgColor rgb="FF305496"/>
      </patternFill>
    </fill>
  </fills>
  <borders count="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vertical="top"/>
    </xf>
    <xf borderId="1" fillId="3" fontId="2" numFmtId="0" xfId="0" applyAlignment="1" applyBorder="1" applyFill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top"/>
    </xf>
    <xf borderId="1" fillId="4" fontId="3" numFmtId="0" xfId="0" applyAlignment="1" applyBorder="1" applyFill="1" applyFont="1">
      <alignment vertical="top"/>
    </xf>
    <xf borderId="1" fillId="5" fontId="2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7" fontId="2" numFmtId="0" xfId="0" applyAlignment="1" applyBorder="1" applyFill="1" applyFont="1">
      <alignment vertical="top"/>
    </xf>
    <xf borderId="1" fillId="7" fontId="2" numFmtId="0" xfId="0" applyAlignment="1" applyBorder="1" applyFont="1">
      <alignment shrinkToFit="0" vertical="top" wrapText="1"/>
    </xf>
    <xf borderId="1" fillId="7" fontId="3" numFmtId="0" xfId="0" applyAlignment="1" applyBorder="1" applyFont="1">
      <alignment vertical="top"/>
    </xf>
    <xf borderId="1" fillId="7" fontId="2" numFmtId="0" xfId="0" applyAlignment="1" applyBorder="1" applyFont="1">
      <alignment readingOrder="0" shrinkToFit="0" vertical="top" wrapText="1"/>
    </xf>
    <xf borderId="2" fillId="2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1" fillId="8" fontId="1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2" fillId="9" fontId="7" numFmtId="0" xfId="0" applyAlignment="1" applyBorder="1" applyFill="1" applyFont="1">
      <alignment shrinkToFit="0" vertical="top" wrapText="1"/>
    </xf>
    <xf borderId="5" fillId="10" fontId="8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shrinkToFit="0" vertical="top" wrapText="1"/>
    </xf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0.0"/>
    <col customWidth="1" min="3" max="3" width="46.0"/>
    <col customWidth="1" min="4" max="5" width="11.0"/>
    <col customWidth="1" min="6" max="7" width="18.0"/>
    <col customWidth="1" min="8" max="8" width="11.0"/>
    <col customWidth="1" min="9" max="9" width="16.0"/>
    <col customWidth="1" min="10" max="10" width="13.0"/>
    <col customWidth="1" min="11" max="11" width="38.0"/>
    <col customWidth="1" min="12" max="12" width="58.0"/>
    <col customWidth="1" min="13" max="13" width="50.0"/>
    <col customWidth="1" min="14" max="14" width="42.0"/>
    <col customWidth="1" min="15" max="15" width="55.0"/>
    <col customWidth="1" min="16" max="16" width="42.0"/>
    <col customWidth="1" min="17" max="26" width="8.71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 t="s">
        <v>17</v>
      </c>
      <c r="C2" s="4" t="s">
        <v>18</v>
      </c>
      <c r="D2" s="5" t="s">
        <v>19</v>
      </c>
      <c r="E2" s="5" t="s">
        <v>20</v>
      </c>
      <c r="F2" s="4" t="s">
        <v>21</v>
      </c>
      <c r="G2" s="4" t="s">
        <v>22</v>
      </c>
      <c r="H2" s="2" t="s">
        <v>23</v>
      </c>
      <c r="I2" s="4" t="s">
        <v>24</v>
      </c>
      <c r="J2" s="6">
        <v>3.0</v>
      </c>
      <c r="K2" s="7" t="s">
        <v>25</v>
      </c>
      <c r="L2" s="8" t="s">
        <v>26</v>
      </c>
      <c r="M2" s="8"/>
      <c r="N2" s="8" t="s">
        <v>27</v>
      </c>
      <c r="O2" s="4" t="s">
        <v>28</v>
      </c>
      <c r="P2" s="2" t="s">
        <v>29</v>
      </c>
    </row>
    <row r="3">
      <c r="A3" s="2" t="s">
        <v>30</v>
      </c>
      <c r="B3" s="3" t="s">
        <v>17</v>
      </c>
      <c r="C3" s="4" t="s">
        <v>31</v>
      </c>
      <c r="D3" s="5" t="s">
        <v>32</v>
      </c>
      <c r="E3" s="5" t="s">
        <v>33</v>
      </c>
      <c r="F3" s="4" t="s">
        <v>34</v>
      </c>
      <c r="G3" s="4" t="s">
        <v>35</v>
      </c>
      <c r="H3" s="2" t="s">
        <v>36</v>
      </c>
      <c r="I3" s="4" t="s">
        <v>37</v>
      </c>
      <c r="J3" s="6">
        <v>3.0</v>
      </c>
      <c r="K3" s="7" t="s">
        <v>25</v>
      </c>
      <c r="L3" s="8" t="s">
        <v>38</v>
      </c>
      <c r="M3" s="8"/>
      <c r="N3" s="8" t="s">
        <v>27</v>
      </c>
      <c r="O3" s="4" t="s">
        <v>39</v>
      </c>
      <c r="P3" s="2" t="s">
        <v>29</v>
      </c>
    </row>
    <row r="4">
      <c r="A4" s="2" t="s">
        <v>40</v>
      </c>
      <c r="B4" s="3" t="s">
        <v>17</v>
      </c>
      <c r="C4" s="4" t="s">
        <v>41</v>
      </c>
      <c r="D4" s="5" t="s">
        <v>42</v>
      </c>
      <c r="E4" s="5" t="s">
        <v>43</v>
      </c>
      <c r="F4" s="4" t="s">
        <v>44</v>
      </c>
      <c r="G4" s="4" t="s">
        <v>45</v>
      </c>
      <c r="H4" s="2" t="s">
        <v>46</v>
      </c>
      <c r="I4" s="9">
        <v>7.5</v>
      </c>
      <c r="J4" s="6">
        <v>3.0</v>
      </c>
      <c r="K4" s="7" t="s">
        <v>25</v>
      </c>
      <c r="L4" s="8" t="s">
        <v>47</v>
      </c>
      <c r="M4" s="8"/>
      <c r="N4" s="8" t="s">
        <v>27</v>
      </c>
      <c r="O4" s="4" t="s">
        <v>48</v>
      </c>
      <c r="P4" s="2" t="s">
        <v>29</v>
      </c>
    </row>
    <row r="5">
      <c r="A5" s="10" t="s">
        <v>49</v>
      </c>
      <c r="B5" s="3" t="s">
        <v>17</v>
      </c>
      <c r="C5" s="11" t="s">
        <v>50</v>
      </c>
      <c r="D5" s="12" t="s">
        <v>51</v>
      </c>
      <c r="E5" s="12" t="s">
        <v>52</v>
      </c>
      <c r="F5" s="11" t="s">
        <v>53</v>
      </c>
      <c r="G5" s="11" t="s">
        <v>22</v>
      </c>
      <c r="H5" s="10" t="s">
        <v>23</v>
      </c>
      <c r="I5" s="13">
        <v>15.0</v>
      </c>
      <c r="J5" s="6">
        <v>3.0</v>
      </c>
      <c r="K5" s="7" t="s">
        <v>25</v>
      </c>
      <c r="L5" s="8" t="s">
        <v>54</v>
      </c>
      <c r="M5" s="8"/>
      <c r="N5" s="8" t="s">
        <v>27</v>
      </c>
      <c r="O5" s="11" t="s">
        <v>55</v>
      </c>
      <c r="P5" s="10" t="s">
        <v>29</v>
      </c>
    </row>
    <row r="6">
      <c r="A6" s="2" t="s">
        <v>56</v>
      </c>
      <c r="B6" s="3" t="s">
        <v>17</v>
      </c>
      <c r="C6" s="4" t="s">
        <v>57</v>
      </c>
      <c r="D6" s="5" t="s">
        <v>58</v>
      </c>
      <c r="E6" s="5" t="s">
        <v>59</v>
      </c>
      <c r="F6" s="4" t="s">
        <v>60</v>
      </c>
      <c r="G6" s="4" t="s">
        <v>61</v>
      </c>
      <c r="H6" s="2" t="s">
        <v>62</v>
      </c>
      <c r="I6" s="4" t="s">
        <v>63</v>
      </c>
      <c r="J6" s="6">
        <v>2.0</v>
      </c>
      <c r="K6" s="7" t="s">
        <v>25</v>
      </c>
      <c r="L6" s="8" t="s">
        <v>64</v>
      </c>
      <c r="M6" s="8"/>
      <c r="N6" s="8" t="s">
        <v>27</v>
      </c>
      <c r="O6" s="4" t="s">
        <v>65</v>
      </c>
      <c r="P6" s="2" t="s">
        <v>29</v>
      </c>
    </row>
    <row r="7">
      <c r="A7" s="2" t="s">
        <v>66</v>
      </c>
      <c r="B7" s="3" t="s">
        <v>17</v>
      </c>
      <c r="C7" s="4" t="s">
        <v>67</v>
      </c>
      <c r="D7" s="5" t="s">
        <v>68</v>
      </c>
      <c r="E7" s="5" t="s">
        <v>69</v>
      </c>
      <c r="F7" s="4" t="s">
        <v>70</v>
      </c>
      <c r="G7" s="4" t="s">
        <v>22</v>
      </c>
      <c r="H7" s="2" t="s">
        <v>36</v>
      </c>
      <c r="I7" s="9">
        <v>10.0</v>
      </c>
      <c r="J7" s="6">
        <v>3.0</v>
      </c>
      <c r="K7" s="7" t="s">
        <v>25</v>
      </c>
      <c r="L7" s="8" t="s">
        <v>71</v>
      </c>
      <c r="M7" s="8"/>
      <c r="N7" s="8" t="s">
        <v>27</v>
      </c>
      <c r="O7" s="4" t="s">
        <v>72</v>
      </c>
      <c r="P7" s="2" t="s">
        <v>29</v>
      </c>
    </row>
    <row r="8">
      <c r="A8" s="10" t="s">
        <v>73</v>
      </c>
      <c r="B8" s="3" t="s">
        <v>17</v>
      </c>
      <c r="C8" s="11" t="s">
        <v>74</v>
      </c>
      <c r="D8" s="12" t="s">
        <v>75</v>
      </c>
      <c r="E8" s="12" t="s">
        <v>76</v>
      </c>
      <c r="F8" s="11" t="s">
        <v>77</v>
      </c>
      <c r="G8" s="11" t="s">
        <v>77</v>
      </c>
      <c r="H8" s="10" t="s">
        <v>36</v>
      </c>
      <c r="I8" s="13">
        <v>12.0</v>
      </c>
      <c r="J8" s="6">
        <v>4.0</v>
      </c>
      <c r="K8" s="7" t="s">
        <v>25</v>
      </c>
      <c r="L8" s="8" t="s">
        <v>78</v>
      </c>
      <c r="M8" s="8"/>
      <c r="N8" s="8" t="s">
        <v>27</v>
      </c>
      <c r="O8" s="11" t="s">
        <v>79</v>
      </c>
      <c r="P8" s="10" t="s">
        <v>29</v>
      </c>
    </row>
    <row r="9">
      <c r="A9" s="10" t="s">
        <v>80</v>
      </c>
      <c r="B9" s="3" t="s">
        <v>17</v>
      </c>
      <c r="C9" s="11" t="s">
        <v>81</v>
      </c>
      <c r="D9" s="12" t="s">
        <v>82</v>
      </c>
      <c r="E9" s="12" t="s">
        <v>33</v>
      </c>
      <c r="F9" s="11" t="s">
        <v>83</v>
      </c>
      <c r="G9" s="11" t="s">
        <v>83</v>
      </c>
      <c r="H9" s="10" t="s">
        <v>36</v>
      </c>
      <c r="I9" s="13">
        <v>12.0</v>
      </c>
      <c r="J9" s="6">
        <v>3.0</v>
      </c>
      <c r="K9" s="7" t="s">
        <v>25</v>
      </c>
      <c r="L9" s="8" t="s">
        <v>84</v>
      </c>
      <c r="M9" s="8"/>
      <c r="N9" s="8" t="s">
        <v>27</v>
      </c>
      <c r="O9" s="11" t="s">
        <v>85</v>
      </c>
      <c r="P9" s="10" t="s">
        <v>29</v>
      </c>
    </row>
    <row r="10">
      <c r="A10" s="10" t="s">
        <v>86</v>
      </c>
      <c r="B10" s="3" t="s">
        <v>17</v>
      </c>
      <c r="C10" s="11" t="s">
        <v>87</v>
      </c>
      <c r="D10" s="12" t="s">
        <v>88</v>
      </c>
      <c r="E10" s="12" t="s">
        <v>89</v>
      </c>
      <c r="F10" s="11" t="s">
        <v>90</v>
      </c>
      <c r="G10" s="11" t="s">
        <v>35</v>
      </c>
      <c r="H10" s="10" t="s">
        <v>36</v>
      </c>
      <c r="I10" s="13" t="s">
        <v>91</v>
      </c>
      <c r="J10" s="6">
        <v>2.0</v>
      </c>
      <c r="K10" s="7" t="s">
        <v>25</v>
      </c>
      <c r="L10" s="8" t="s">
        <v>92</v>
      </c>
      <c r="M10" s="8"/>
      <c r="N10" s="8" t="s">
        <v>27</v>
      </c>
      <c r="O10" s="11" t="s">
        <v>93</v>
      </c>
      <c r="P10" s="10" t="s">
        <v>29</v>
      </c>
    </row>
    <row r="11">
      <c r="A11" s="2" t="s">
        <v>94</v>
      </c>
      <c r="B11" s="3" t="s">
        <v>17</v>
      </c>
      <c r="C11" s="4" t="s">
        <v>95</v>
      </c>
      <c r="D11" s="5" t="s">
        <v>96</v>
      </c>
      <c r="E11" s="5" t="s">
        <v>97</v>
      </c>
      <c r="F11" s="4" t="s">
        <v>21</v>
      </c>
      <c r="G11" s="4" t="s">
        <v>22</v>
      </c>
      <c r="H11" s="2" t="s">
        <v>36</v>
      </c>
      <c r="I11" s="9" t="s">
        <v>98</v>
      </c>
      <c r="J11" s="6">
        <v>3.0</v>
      </c>
      <c r="K11" s="7" t="s">
        <v>25</v>
      </c>
      <c r="L11" s="8" t="s">
        <v>99</v>
      </c>
      <c r="M11" s="8"/>
      <c r="N11" s="8" t="s">
        <v>27</v>
      </c>
      <c r="O11" s="4" t="s">
        <v>100</v>
      </c>
      <c r="P11" s="2" t="s">
        <v>29</v>
      </c>
    </row>
    <row r="12">
      <c r="A12" s="2" t="s">
        <v>101</v>
      </c>
      <c r="B12" s="3" t="s">
        <v>17</v>
      </c>
      <c r="C12" s="4" t="s">
        <v>102</v>
      </c>
      <c r="D12" s="5" t="s">
        <v>103</v>
      </c>
      <c r="E12" s="5" t="s">
        <v>104</v>
      </c>
      <c r="F12" s="4" t="s">
        <v>21</v>
      </c>
      <c r="G12" s="4" t="s">
        <v>35</v>
      </c>
      <c r="H12" s="2" t="s">
        <v>36</v>
      </c>
      <c r="I12" s="4" t="s">
        <v>105</v>
      </c>
      <c r="J12" s="6">
        <v>3.0</v>
      </c>
      <c r="K12" s="7" t="s">
        <v>25</v>
      </c>
      <c r="L12" s="8" t="s">
        <v>106</v>
      </c>
      <c r="M12" s="8"/>
      <c r="N12" s="8" t="s">
        <v>27</v>
      </c>
      <c r="O12" s="4" t="s">
        <v>107</v>
      </c>
      <c r="P12" s="2" t="s">
        <v>29</v>
      </c>
    </row>
    <row r="13">
      <c r="A13" s="10" t="s">
        <v>108</v>
      </c>
      <c r="B13" s="3" t="s">
        <v>17</v>
      </c>
      <c r="C13" s="11" t="s">
        <v>109</v>
      </c>
      <c r="D13" s="12" t="s">
        <v>103</v>
      </c>
      <c r="E13" s="12" t="s">
        <v>104</v>
      </c>
      <c r="F13" s="11" t="s">
        <v>83</v>
      </c>
      <c r="G13" s="11" t="s">
        <v>83</v>
      </c>
      <c r="H13" s="10" t="s">
        <v>36</v>
      </c>
      <c r="I13" s="11" t="s">
        <v>110</v>
      </c>
      <c r="J13" s="6">
        <v>3.0</v>
      </c>
      <c r="K13" s="7" t="s">
        <v>25</v>
      </c>
      <c r="L13" s="8" t="s">
        <v>111</v>
      </c>
      <c r="M13" s="8"/>
      <c r="N13" s="8" t="s">
        <v>27</v>
      </c>
      <c r="O13" s="11" t="s">
        <v>112</v>
      </c>
      <c r="P13" s="10" t="s">
        <v>29</v>
      </c>
    </row>
    <row r="14">
      <c r="A14" s="2" t="s">
        <v>113</v>
      </c>
      <c r="B14" s="3" t="s">
        <v>17</v>
      </c>
      <c r="C14" s="4" t="s">
        <v>114</v>
      </c>
      <c r="D14" s="5" t="s">
        <v>115</v>
      </c>
      <c r="E14" s="5" t="s">
        <v>116</v>
      </c>
      <c r="F14" s="4" t="s">
        <v>53</v>
      </c>
      <c r="G14" s="4" t="s">
        <v>22</v>
      </c>
      <c r="H14" s="2" t="s">
        <v>36</v>
      </c>
      <c r="I14" s="4" t="s">
        <v>117</v>
      </c>
      <c r="J14" s="6">
        <v>2.0</v>
      </c>
      <c r="K14" s="7" t="s">
        <v>25</v>
      </c>
      <c r="L14" s="8" t="s">
        <v>118</v>
      </c>
      <c r="M14" s="8"/>
      <c r="N14" s="8" t="s">
        <v>27</v>
      </c>
      <c r="O14" s="4" t="s">
        <v>119</v>
      </c>
      <c r="P14" s="2" t="s">
        <v>29</v>
      </c>
    </row>
    <row r="15">
      <c r="A15" s="10" t="s">
        <v>120</v>
      </c>
      <c r="B15" s="3" t="s">
        <v>17</v>
      </c>
      <c r="C15" s="11" t="s">
        <v>121</v>
      </c>
      <c r="D15" s="12" t="s">
        <v>122</v>
      </c>
      <c r="E15" s="12" t="s">
        <v>123</v>
      </c>
      <c r="F15" s="11" t="s">
        <v>53</v>
      </c>
      <c r="G15" s="11" t="s">
        <v>124</v>
      </c>
      <c r="H15" s="10" t="s">
        <v>23</v>
      </c>
      <c r="I15" s="13">
        <v>15.0</v>
      </c>
      <c r="J15" s="6">
        <v>3.0</v>
      </c>
      <c r="K15" s="7" t="s">
        <v>25</v>
      </c>
      <c r="L15" s="8" t="s">
        <v>125</v>
      </c>
      <c r="M15" s="8"/>
      <c r="N15" s="8" t="s">
        <v>27</v>
      </c>
      <c r="O15" s="11" t="s">
        <v>126</v>
      </c>
      <c r="P15" s="10" t="s">
        <v>29</v>
      </c>
    </row>
    <row r="16">
      <c r="A16" s="2" t="s">
        <v>127</v>
      </c>
      <c r="B16" s="3" t="s">
        <v>17</v>
      </c>
      <c r="C16" s="4" t="s">
        <v>128</v>
      </c>
      <c r="D16" s="5" t="s">
        <v>82</v>
      </c>
      <c r="E16" s="5" t="s">
        <v>104</v>
      </c>
      <c r="F16" s="4" t="s">
        <v>34</v>
      </c>
      <c r="G16" s="4" t="s">
        <v>83</v>
      </c>
      <c r="H16" s="2" t="s">
        <v>36</v>
      </c>
      <c r="I16" s="9">
        <v>12.0</v>
      </c>
      <c r="J16" s="6">
        <v>3.0</v>
      </c>
      <c r="K16" s="7" t="s">
        <v>25</v>
      </c>
      <c r="L16" s="8" t="s">
        <v>129</v>
      </c>
      <c r="M16" s="8"/>
      <c r="N16" s="8" t="s">
        <v>27</v>
      </c>
      <c r="O16" s="4" t="s">
        <v>130</v>
      </c>
      <c r="P16" s="2" t="s">
        <v>29</v>
      </c>
    </row>
    <row r="17">
      <c r="A17" s="10" t="s">
        <v>131</v>
      </c>
      <c r="B17" s="3" t="s">
        <v>17</v>
      </c>
      <c r="C17" s="11" t="s">
        <v>132</v>
      </c>
      <c r="D17" s="12" t="s">
        <v>133</v>
      </c>
      <c r="E17" s="12" t="s">
        <v>134</v>
      </c>
      <c r="F17" s="11" t="s">
        <v>21</v>
      </c>
      <c r="G17" s="11" t="s">
        <v>35</v>
      </c>
      <c r="H17" s="10" t="s">
        <v>83</v>
      </c>
      <c r="I17" s="13">
        <v>12.0</v>
      </c>
      <c r="J17" s="6">
        <v>3.0</v>
      </c>
      <c r="K17" s="7" t="s">
        <v>25</v>
      </c>
      <c r="L17" s="8" t="s">
        <v>135</v>
      </c>
      <c r="M17" s="8"/>
      <c r="N17" s="8" t="s">
        <v>27</v>
      </c>
      <c r="O17" s="11" t="s">
        <v>136</v>
      </c>
      <c r="P17" s="10" t="s">
        <v>29</v>
      </c>
    </row>
    <row r="18">
      <c r="A18" s="10" t="s">
        <v>137</v>
      </c>
      <c r="B18" s="3" t="s">
        <v>17</v>
      </c>
      <c r="C18" s="11" t="s">
        <v>138</v>
      </c>
      <c r="D18" s="12" t="s">
        <v>139</v>
      </c>
      <c r="E18" s="12" t="s">
        <v>76</v>
      </c>
      <c r="F18" s="11" t="s">
        <v>34</v>
      </c>
      <c r="G18" s="11" t="s">
        <v>35</v>
      </c>
      <c r="H18" s="10" t="s">
        <v>36</v>
      </c>
      <c r="I18" s="13">
        <v>12.0</v>
      </c>
      <c r="J18" s="6">
        <v>3.0</v>
      </c>
      <c r="K18" s="7" t="s">
        <v>25</v>
      </c>
      <c r="L18" s="8" t="s">
        <v>140</v>
      </c>
      <c r="M18" s="8"/>
      <c r="N18" s="8" t="s">
        <v>27</v>
      </c>
      <c r="O18" s="11" t="s">
        <v>141</v>
      </c>
      <c r="P18" s="10" t="s">
        <v>29</v>
      </c>
    </row>
    <row r="19">
      <c r="A19" s="2" t="s">
        <v>142</v>
      </c>
      <c r="B19" s="3" t="s">
        <v>17</v>
      </c>
      <c r="C19" s="4" t="s">
        <v>143</v>
      </c>
      <c r="D19" s="5" t="s">
        <v>144</v>
      </c>
      <c r="E19" s="5" t="s">
        <v>145</v>
      </c>
      <c r="F19" s="4" t="s">
        <v>70</v>
      </c>
      <c r="G19" s="4" t="s">
        <v>146</v>
      </c>
      <c r="H19" s="2" t="s">
        <v>23</v>
      </c>
      <c r="I19" s="9">
        <v>15.0</v>
      </c>
      <c r="J19" s="6">
        <v>3.0</v>
      </c>
      <c r="K19" s="7" t="s">
        <v>25</v>
      </c>
      <c r="L19" s="8" t="s">
        <v>147</v>
      </c>
      <c r="M19" s="8"/>
      <c r="N19" s="8" t="s">
        <v>27</v>
      </c>
      <c r="O19" s="4" t="s">
        <v>148</v>
      </c>
      <c r="P19" s="2" t="s">
        <v>29</v>
      </c>
    </row>
    <row r="20">
      <c r="A20" s="10" t="s">
        <v>149</v>
      </c>
      <c r="B20" s="3" t="s">
        <v>17</v>
      </c>
      <c r="C20" s="11" t="s">
        <v>150</v>
      </c>
      <c r="D20" s="12" t="s">
        <v>151</v>
      </c>
      <c r="E20" s="12" t="s">
        <v>152</v>
      </c>
      <c r="F20" s="11" t="s">
        <v>34</v>
      </c>
      <c r="G20" s="11" t="s">
        <v>22</v>
      </c>
      <c r="H20" s="10" t="s">
        <v>23</v>
      </c>
      <c r="I20" s="13">
        <v>15.0</v>
      </c>
      <c r="J20" s="6">
        <v>3.0</v>
      </c>
      <c r="K20" s="7" t="s">
        <v>25</v>
      </c>
      <c r="L20" s="8" t="s">
        <v>153</v>
      </c>
      <c r="M20" s="8"/>
      <c r="N20" s="8" t="s">
        <v>27</v>
      </c>
      <c r="O20" s="11" t="s">
        <v>154</v>
      </c>
      <c r="P20" s="10" t="s">
        <v>29</v>
      </c>
    </row>
    <row r="21" ht="15.75" customHeight="1">
      <c r="A21" s="10" t="s">
        <v>155</v>
      </c>
      <c r="B21" s="3" t="s">
        <v>17</v>
      </c>
      <c r="C21" s="11" t="s">
        <v>156</v>
      </c>
      <c r="D21" s="12" t="s">
        <v>157</v>
      </c>
      <c r="E21" s="12" t="s">
        <v>158</v>
      </c>
      <c r="F21" s="11" t="s">
        <v>34</v>
      </c>
      <c r="G21" s="11" t="s">
        <v>22</v>
      </c>
      <c r="H21" s="10" t="s">
        <v>36</v>
      </c>
      <c r="I21" s="11" t="s">
        <v>37</v>
      </c>
      <c r="J21" s="6">
        <v>2.0</v>
      </c>
      <c r="K21" s="7" t="s">
        <v>25</v>
      </c>
      <c r="L21" s="8" t="s">
        <v>159</v>
      </c>
      <c r="M21" s="8"/>
      <c r="N21" s="8" t="s">
        <v>27</v>
      </c>
      <c r="O21" s="11" t="s">
        <v>160</v>
      </c>
      <c r="P21" s="10" t="s">
        <v>29</v>
      </c>
    </row>
    <row r="22" ht="15.75" customHeight="1">
      <c r="A22" s="10" t="s">
        <v>161</v>
      </c>
      <c r="B22" s="3" t="s">
        <v>17</v>
      </c>
      <c r="C22" s="11" t="s">
        <v>162</v>
      </c>
      <c r="D22" s="12" t="s">
        <v>163</v>
      </c>
      <c r="E22" s="12" t="s">
        <v>164</v>
      </c>
      <c r="F22" s="11"/>
      <c r="G22" s="11" t="s">
        <v>60</v>
      </c>
      <c r="H22" s="10" t="s">
        <v>36</v>
      </c>
      <c r="I22" s="11"/>
      <c r="J22" s="6">
        <v>4.0</v>
      </c>
      <c r="K22" s="7" t="s">
        <v>25</v>
      </c>
      <c r="L22" s="8" t="s">
        <v>165</v>
      </c>
      <c r="M22" s="8"/>
      <c r="N22" s="8" t="s">
        <v>27</v>
      </c>
      <c r="O22" s="11" t="s">
        <v>166</v>
      </c>
      <c r="P22" s="10" t="s">
        <v>29</v>
      </c>
    </row>
    <row r="23" ht="15.75" customHeight="1">
      <c r="A23" s="10" t="s">
        <v>167</v>
      </c>
      <c r="B23" s="3" t="s">
        <v>17</v>
      </c>
      <c r="C23" s="11" t="s">
        <v>168</v>
      </c>
      <c r="D23" s="12" t="s">
        <v>169</v>
      </c>
      <c r="E23" s="12" t="s">
        <v>170</v>
      </c>
      <c r="F23" s="11" t="s">
        <v>171</v>
      </c>
      <c r="G23" s="11" t="s">
        <v>22</v>
      </c>
      <c r="H23" s="10" t="s">
        <v>23</v>
      </c>
      <c r="I23" s="11" t="s">
        <v>117</v>
      </c>
      <c r="J23" s="6">
        <v>3.0</v>
      </c>
      <c r="K23" s="7" t="s">
        <v>25</v>
      </c>
      <c r="L23" s="8" t="s">
        <v>172</v>
      </c>
      <c r="M23" s="8"/>
      <c r="N23" s="8" t="s">
        <v>27</v>
      </c>
      <c r="O23" s="11" t="s">
        <v>173</v>
      </c>
      <c r="P23" s="10" t="s">
        <v>29</v>
      </c>
    </row>
    <row r="24" ht="15.75" customHeight="1">
      <c r="A24" s="2" t="s">
        <v>174</v>
      </c>
      <c r="B24" s="3" t="s">
        <v>17</v>
      </c>
      <c r="C24" s="4" t="s">
        <v>175</v>
      </c>
      <c r="D24" s="5" t="s">
        <v>176</v>
      </c>
      <c r="E24" s="5" t="s">
        <v>177</v>
      </c>
      <c r="F24" s="4" t="s">
        <v>53</v>
      </c>
      <c r="G24" s="4" t="s">
        <v>22</v>
      </c>
      <c r="H24" s="2" t="s">
        <v>23</v>
      </c>
      <c r="I24" s="9" t="s">
        <v>24</v>
      </c>
      <c r="J24" s="6">
        <v>2.0</v>
      </c>
      <c r="K24" s="7" t="s">
        <v>25</v>
      </c>
      <c r="L24" s="8" t="s">
        <v>178</v>
      </c>
      <c r="M24" s="8"/>
      <c r="N24" s="8" t="s">
        <v>27</v>
      </c>
      <c r="O24" s="4" t="s">
        <v>179</v>
      </c>
      <c r="P24" s="2" t="s">
        <v>29</v>
      </c>
    </row>
    <row r="25" ht="15.75" customHeight="1">
      <c r="A25" s="2" t="s">
        <v>180</v>
      </c>
      <c r="B25" s="3" t="s">
        <v>17</v>
      </c>
      <c r="C25" s="4" t="s">
        <v>181</v>
      </c>
      <c r="D25" s="5" t="s">
        <v>182</v>
      </c>
      <c r="E25" s="5" t="s">
        <v>33</v>
      </c>
      <c r="F25" s="4" t="s">
        <v>183</v>
      </c>
      <c r="G25" s="4" t="s">
        <v>184</v>
      </c>
      <c r="H25" s="2" t="s">
        <v>36</v>
      </c>
      <c r="I25" s="9" t="s">
        <v>185</v>
      </c>
      <c r="J25" s="6">
        <v>2.0</v>
      </c>
      <c r="K25" s="7" t="s">
        <v>25</v>
      </c>
      <c r="L25" s="8" t="s">
        <v>186</v>
      </c>
      <c r="M25" s="8"/>
      <c r="N25" s="8" t="s">
        <v>27</v>
      </c>
      <c r="O25" s="4" t="s">
        <v>187</v>
      </c>
      <c r="P25" s="2" t="s">
        <v>29</v>
      </c>
    </row>
    <row r="26" ht="15.75" customHeight="1">
      <c r="A26" s="2" t="s">
        <v>188</v>
      </c>
      <c r="B26" s="3" t="s">
        <v>17</v>
      </c>
      <c r="C26" s="4" t="s">
        <v>189</v>
      </c>
      <c r="D26" s="5" t="s">
        <v>103</v>
      </c>
      <c r="E26" s="5" t="s">
        <v>104</v>
      </c>
      <c r="F26" s="4" t="s">
        <v>21</v>
      </c>
      <c r="G26" s="4" t="s">
        <v>35</v>
      </c>
      <c r="H26" s="2" t="s">
        <v>36</v>
      </c>
      <c r="I26" s="4" t="s">
        <v>63</v>
      </c>
      <c r="J26" s="6">
        <v>3.0</v>
      </c>
      <c r="K26" s="7" t="s">
        <v>25</v>
      </c>
      <c r="L26" s="8" t="s">
        <v>190</v>
      </c>
      <c r="M26" s="8"/>
      <c r="N26" s="8" t="s">
        <v>27</v>
      </c>
      <c r="O26" s="4" t="s">
        <v>191</v>
      </c>
      <c r="P26" s="2" t="s">
        <v>29</v>
      </c>
    </row>
    <row r="27" ht="15.75" customHeight="1">
      <c r="A27" s="10" t="s">
        <v>192</v>
      </c>
      <c r="B27" s="3" t="s">
        <v>17</v>
      </c>
      <c r="C27" s="11" t="s">
        <v>193</v>
      </c>
      <c r="D27" s="12" t="s">
        <v>194</v>
      </c>
      <c r="E27" s="12" t="s">
        <v>195</v>
      </c>
      <c r="F27" s="11" t="s">
        <v>21</v>
      </c>
      <c r="G27" s="11" t="s">
        <v>35</v>
      </c>
      <c r="H27" s="10" t="s">
        <v>36</v>
      </c>
      <c r="I27" s="13" t="s">
        <v>196</v>
      </c>
      <c r="J27" s="6">
        <v>3.0</v>
      </c>
      <c r="K27" s="7" t="s">
        <v>25</v>
      </c>
      <c r="L27" s="8" t="s">
        <v>197</v>
      </c>
      <c r="M27" s="8"/>
      <c r="N27" s="8" t="s">
        <v>27</v>
      </c>
      <c r="O27" s="11" t="s">
        <v>198</v>
      </c>
      <c r="P27" s="10" t="s">
        <v>29</v>
      </c>
    </row>
    <row r="28" ht="15.75" customHeight="1">
      <c r="A28" s="2" t="s">
        <v>199</v>
      </c>
      <c r="B28" s="3" t="s">
        <v>17</v>
      </c>
      <c r="C28" s="4" t="s">
        <v>200</v>
      </c>
      <c r="D28" s="5" t="s">
        <v>201</v>
      </c>
      <c r="E28" s="5" t="s">
        <v>202</v>
      </c>
      <c r="F28" s="4" t="s">
        <v>34</v>
      </c>
      <c r="G28" s="4" t="s">
        <v>124</v>
      </c>
      <c r="H28" s="2" t="s">
        <v>36</v>
      </c>
      <c r="I28" s="9" t="s">
        <v>196</v>
      </c>
      <c r="J28" s="6">
        <v>2.0</v>
      </c>
      <c r="K28" s="7" t="s">
        <v>25</v>
      </c>
      <c r="L28" s="8" t="s">
        <v>203</v>
      </c>
      <c r="M28" s="8"/>
      <c r="N28" s="8" t="s">
        <v>27</v>
      </c>
      <c r="O28" s="4" t="s">
        <v>204</v>
      </c>
      <c r="P28" s="2" t="s">
        <v>29</v>
      </c>
    </row>
    <row r="29" ht="15.75" customHeight="1">
      <c r="A29" s="2" t="s">
        <v>205</v>
      </c>
      <c r="B29" s="3" t="s">
        <v>17</v>
      </c>
      <c r="C29" s="4" t="s">
        <v>206</v>
      </c>
      <c r="D29" s="5" t="s">
        <v>207</v>
      </c>
      <c r="E29" s="5" t="s">
        <v>33</v>
      </c>
      <c r="F29" s="4" t="s">
        <v>34</v>
      </c>
      <c r="G29" s="4" t="s">
        <v>35</v>
      </c>
      <c r="H29" s="2" t="s">
        <v>36</v>
      </c>
      <c r="I29" s="9" t="s">
        <v>185</v>
      </c>
      <c r="J29" s="6">
        <v>3.0</v>
      </c>
      <c r="K29" s="7" t="s">
        <v>25</v>
      </c>
      <c r="L29" s="8" t="s">
        <v>208</v>
      </c>
      <c r="M29" s="8"/>
      <c r="N29" s="8" t="s">
        <v>27</v>
      </c>
      <c r="O29" s="4" t="s">
        <v>209</v>
      </c>
      <c r="P29" s="2" t="s">
        <v>29</v>
      </c>
    </row>
    <row r="30" ht="15.75" customHeight="1">
      <c r="A30" s="10" t="s">
        <v>210</v>
      </c>
      <c r="B30" s="3" t="s">
        <v>17</v>
      </c>
      <c r="C30" s="11" t="s">
        <v>211</v>
      </c>
      <c r="D30" s="12" t="s">
        <v>32</v>
      </c>
      <c r="E30" s="12" t="s">
        <v>212</v>
      </c>
      <c r="F30" s="11" t="s">
        <v>21</v>
      </c>
      <c r="G30" s="11" t="s">
        <v>35</v>
      </c>
      <c r="H30" s="10" t="s">
        <v>36</v>
      </c>
      <c r="I30" s="13" t="s">
        <v>196</v>
      </c>
      <c r="J30" s="6">
        <v>2.0</v>
      </c>
      <c r="K30" s="7" t="s">
        <v>25</v>
      </c>
      <c r="L30" s="8" t="s">
        <v>213</v>
      </c>
      <c r="M30" s="8"/>
      <c r="N30" s="8" t="s">
        <v>27</v>
      </c>
      <c r="O30" s="11" t="s">
        <v>214</v>
      </c>
      <c r="P30" s="10" t="s">
        <v>29</v>
      </c>
    </row>
    <row r="31" ht="15.75" customHeight="1">
      <c r="A31" s="10" t="s">
        <v>215</v>
      </c>
      <c r="B31" s="3" t="s">
        <v>17</v>
      </c>
      <c r="C31" s="11" t="s">
        <v>216</v>
      </c>
      <c r="D31" s="12" t="s">
        <v>217</v>
      </c>
      <c r="E31" s="12" t="s">
        <v>218</v>
      </c>
      <c r="F31" s="11" t="s">
        <v>21</v>
      </c>
      <c r="G31" s="11" t="s">
        <v>219</v>
      </c>
      <c r="H31" s="10" t="s">
        <v>36</v>
      </c>
      <c r="I31" s="11" t="s">
        <v>37</v>
      </c>
      <c r="J31" s="6">
        <v>3.0</v>
      </c>
      <c r="K31" s="7" t="s">
        <v>25</v>
      </c>
      <c r="L31" s="8" t="s">
        <v>220</v>
      </c>
      <c r="M31" s="8"/>
      <c r="N31" s="8" t="s">
        <v>27</v>
      </c>
      <c r="O31" s="11" t="s">
        <v>221</v>
      </c>
      <c r="P31" s="10" t="s">
        <v>29</v>
      </c>
    </row>
    <row r="32" ht="15.75" customHeight="1">
      <c r="A32" s="10" t="s">
        <v>222</v>
      </c>
      <c r="B32" s="3" t="s">
        <v>17</v>
      </c>
      <c r="C32" s="11" t="s">
        <v>223</v>
      </c>
      <c r="D32" s="12" t="s">
        <v>103</v>
      </c>
      <c r="E32" s="12" t="s">
        <v>224</v>
      </c>
      <c r="F32" s="11" t="s">
        <v>34</v>
      </c>
      <c r="G32" s="11" t="s">
        <v>35</v>
      </c>
      <c r="H32" s="10" t="s">
        <v>36</v>
      </c>
      <c r="I32" s="13" t="s">
        <v>98</v>
      </c>
      <c r="J32" s="6">
        <v>2.0</v>
      </c>
      <c r="K32" s="7" t="s">
        <v>25</v>
      </c>
      <c r="L32" s="8" t="s">
        <v>225</v>
      </c>
      <c r="M32" s="8"/>
      <c r="N32" s="8" t="s">
        <v>27</v>
      </c>
      <c r="O32" s="11" t="s">
        <v>226</v>
      </c>
      <c r="P32" s="10" t="s">
        <v>29</v>
      </c>
    </row>
    <row r="33" ht="15.75" customHeight="1">
      <c r="A33" s="2" t="s">
        <v>227</v>
      </c>
      <c r="B33" s="3" t="s">
        <v>17</v>
      </c>
      <c r="C33" s="4" t="s">
        <v>228</v>
      </c>
      <c r="D33" s="5" t="s">
        <v>229</v>
      </c>
      <c r="E33" s="5" t="s">
        <v>104</v>
      </c>
      <c r="F33" s="4" t="s">
        <v>34</v>
      </c>
      <c r="G33" s="4" t="s">
        <v>35</v>
      </c>
      <c r="H33" s="2" t="s">
        <v>36</v>
      </c>
      <c r="I33" s="4" t="s">
        <v>63</v>
      </c>
      <c r="J33" s="6">
        <v>3.0</v>
      </c>
      <c r="K33" s="7" t="s">
        <v>25</v>
      </c>
      <c r="L33" s="8" t="s">
        <v>230</v>
      </c>
      <c r="M33" s="8"/>
      <c r="N33" s="8" t="s">
        <v>27</v>
      </c>
      <c r="O33" s="4" t="s">
        <v>231</v>
      </c>
      <c r="P33" s="2" t="s">
        <v>29</v>
      </c>
    </row>
    <row r="34" ht="15.75" customHeight="1">
      <c r="A34" s="10" t="s">
        <v>232</v>
      </c>
      <c r="B34" s="3" t="s">
        <v>17</v>
      </c>
      <c r="C34" s="11" t="s">
        <v>233</v>
      </c>
      <c r="D34" s="12" t="s">
        <v>234</v>
      </c>
      <c r="E34" s="12" t="s">
        <v>207</v>
      </c>
      <c r="F34" s="11" t="s">
        <v>34</v>
      </c>
      <c r="G34" s="11" t="s">
        <v>35</v>
      </c>
      <c r="H34" s="10" t="s">
        <v>36</v>
      </c>
      <c r="I34" s="13" t="s">
        <v>185</v>
      </c>
      <c r="J34" s="6">
        <v>4.0</v>
      </c>
      <c r="K34" s="7" t="s">
        <v>25</v>
      </c>
      <c r="L34" s="8" t="s">
        <v>235</v>
      </c>
      <c r="M34" s="8"/>
      <c r="N34" s="8" t="s">
        <v>27</v>
      </c>
      <c r="O34" s="11" t="s">
        <v>236</v>
      </c>
      <c r="P34" s="10" t="s">
        <v>29</v>
      </c>
    </row>
    <row r="35" ht="15.75" customHeight="1">
      <c r="A35" s="10" t="s">
        <v>237</v>
      </c>
      <c r="B35" s="3" t="s">
        <v>17</v>
      </c>
      <c r="C35" s="11" t="s">
        <v>238</v>
      </c>
      <c r="D35" s="12" t="s">
        <v>229</v>
      </c>
      <c r="E35" s="12" t="s">
        <v>104</v>
      </c>
      <c r="F35" s="11"/>
      <c r="G35" s="11" t="s">
        <v>184</v>
      </c>
      <c r="H35" s="10" t="s">
        <v>36</v>
      </c>
      <c r="I35" s="13" t="s">
        <v>185</v>
      </c>
      <c r="J35" s="6">
        <v>3.0</v>
      </c>
      <c r="K35" s="7" t="s">
        <v>25</v>
      </c>
      <c r="L35" s="8" t="s">
        <v>239</v>
      </c>
      <c r="M35" s="8"/>
      <c r="N35" s="8" t="s">
        <v>27</v>
      </c>
      <c r="O35" s="11" t="s">
        <v>240</v>
      </c>
      <c r="P35" s="10" t="s">
        <v>29</v>
      </c>
    </row>
    <row r="36" ht="15.75" customHeight="1">
      <c r="A36" s="2" t="s">
        <v>241</v>
      </c>
      <c r="B36" s="3" t="s">
        <v>17</v>
      </c>
      <c r="C36" s="4" t="s">
        <v>242</v>
      </c>
      <c r="D36" s="5" t="s">
        <v>234</v>
      </c>
      <c r="E36" s="5" t="s">
        <v>243</v>
      </c>
      <c r="F36" s="4"/>
      <c r="G36" s="4" t="s">
        <v>124</v>
      </c>
      <c r="H36" s="2" t="s">
        <v>36</v>
      </c>
      <c r="I36" s="9" t="s">
        <v>185</v>
      </c>
      <c r="J36" s="6">
        <v>3.0</v>
      </c>
      <c r="K36" s="7" t="s">
        <v>25</v>
      </c>
      <c r="L36" s="8" t="s">
        <v>244</v>
      </c>
      <c r="M36" s="8"/>
      <c r="N36" s="8" t="s">
        <v>27</v>
      </c>
      <c r="O36" s="4" t="s">
        <v>245</v>
      </c>
      <c r="P36" s="2" t="s">
        <v>29</v>
      </c>
    </row>
    <row r="37" ht="15.75" customHeight="1">
      <c r="A37" s="10" t="s">
        <v>246</v>
      </c>
      <c r="B37" s="3" t="s">
        <v>17</v>
      </c>
      <c r="C37" s="11" t="s">
        <v>247</v>
      </c>
      <c r="D37" s="12" t="s">
        <v>248</v>
      </c>
      <c r="E37" s="12" t="s">
        <v>249</v>
      </c>
      <c r="F37" s="11"/>
      <c r="G37" s="13" t="s">
        <v>250</v>
      </c>
      <c r="H37" s="10" t="s">
        <v>36</v>
      </c>
      <c r="I37" s="13" t="s">
        <v>63</v>
      </c>
      <c r="J37" s="6">
        <v>3.0</v>
      </c>
      <c r="K37" s="7" t="s">
        <v>25</v>
      </c>
      <c r="L37" s="8" t="s">
        <v>251</v>
      </c>
      <c r="M37" s="8"/>
      <c r="N37" s="8" t="s">
        <v>27</v>
      </c>
      <c r="O37" s="11" t="s">
        <v>252</v>
      </c>
      <c r="P37" s="10" t="s">
        <v>29</v>
      </c>
    </row>
    <row r="38" ht="15.75" customHeight="1">
      <c r="A38" s="2" t="s">
        <v>253</v>
      </c>
      <c r="B38" s="3" t="s">
        <v>17</v>
      </c>
      <c r="C38" s="4" t="s">
        <v>254</v>
      </c>
      <c r="D38" s="5" t="s">
        <v>82</v>
      </c>
      <c r="E38" s="5" t="s">
        <v>229</v>
      </c>
      <c r="F38" s="4" t="s">
        <v>21</v>
      </c>
      <c r="G38" s="4" t="s">
        <v>83</v>
      </c>
      <c r="H38" s="2" t="s">
        <v>36</v>
      </c>
      <c r="I38" s="9" t="s">
        <v>185</v>
      </c>
      <c r="J38" s="6">
        <v>3.0</v>
      </c>
      <c r="K38" s="7" t="s">
        <v>25</v>
      </c>
      <c r="L38" s="8" t="s">
        <v>255</v>
      </c>
      <c r="M38" s="8"/>
      <c r="N38" s="8" t="s">
        <v>27</v>
      </c>
      <c r="O38" s="4" t="s">
        <v>256</v>
      </c>
      <c r="P38" s="2" t="s">
        <v>29</v>
      </c>
    </row>
    <row r="39" ht="15.75" customHeight="1">
      <c r="A39" s="2" t="s">
        <v>257</v>
      </c>
      <c r="B39" s="3" t="s">
        <v>17</v>
      </c>
      <c r="C39" s="4" t="s">
        <v>258</v>
      </c>
      <c r="D39" s="5" t="s">
        <v>229</v>
      </c>
      <c r="E39" s="5" t="s">
        <v>104</v>
      </c>
      <c r="F39" s="4" t="s">
        <v>34</v>
      </c>
      <c r="G39" s="4" t="s">
        <v>35</v>
      </c>
      <c r="H39" s="2" t="s">
        <v>36</v>
      </c>
      <c r="I39" s="9" t="s">
        <v>98</v>
      </c>
      <c r="J39" s="6">
        <v>4.0</v>
      </c>
      <c r="K39" s="7" t="s">
        <v>25</v>
      </c>
      <c r="L39" s="8" t="s">
        <v>259</v>
      </c>
      <c r="M39" s="8"/>
      <c r="N39" s="8" t="s">
        <v>27</v>
      </c>
      <c r="O39" s="4" t="s">
        <v>260</v>
      </c>
      <c r="P39" s="2" t="s">
        <v>29</v>
      </c>
    </row>
    <row r="40" ht="15.75" customHeight="1">
      <c r="A40" s="2" t="s">
        <v>261</v>
      </c>
      <c r="B40" s="3" t="s">
        <v>17</v>
      </c>
      <c r="C40" s="4" t="s">
        <v>262</v>
      </c>
      <c r="D40" s="5" t="s">
        <v>103</v>
      </c>
      <c r="E40" s="5" t="s">
        <v>104</v>
      </c>
      <c r="F40" s="4" t="s">
        <v>34</v>
      </c>
      <c r="G40" s="4" t="s">
        <v>35</v>
      </c>
      <c r="H40" s="2" t="s">
        <v>36</v>
      </c>
      <c r="I40" s="4"/>
      <c r="J40" s="6">
        <v>3.0</v>
      </c>
      <c r="K40" s="7" t="s">
        <v>25</v>
      </c>
      <c r="L40" s="8" t="s">
        <v>263</v>
      </c>
      <c r="M40" s="8"/>
      <c r="N40" s="8" t="s">
        <v>27</v>
      </c>
      <c r="O40" s="4" t="s">
        <v>264</v>
      </c>
      <c r="P40" s="2" t="s">
        <v>29</v>
      </c>
    </row>
    <row r="41" ht="15.75" customHeight="1">
      <c r="A41" s="10" t="s">
        <v>265</v>
      </c>
      <c r="B41" s="3" t="s">
        <v>17</v>
      </c>
      <c r="C41" s="11" t="s">
        <v>266</v>
      </c>
      <c r="D41" s="12" t="s">
        <v>267</v>
      </c>
      <c r="E41" s="12" t="s">
        <v>268</v>
      </c>
      <c r="F41" s="11" t="s">
        <v>21</v>
      </c>
      <c r="G41" s="11" t="s">
        <v>83</v>
      </c>
      <c r="H41" s="10" t="s">
        <v>36</v>
      </c>
      <c r="I41" s="13" t="s">
        <v>269</v>
      </c>
      <c r="J41" s="6">
        <v>3.0</v>
      </c>
      <c r="K41" s="7" t="s">
        <v>25</v>
      </c>
      <c r="L41" s="8" t="s">
        <v>270</v>
      </c>
      <c r="M41" s="8"/>
      <c r="N41" s="8" t="s">
        <v>27</v>
      </c>
      <c r="O41" s="11" t="s">
        <v>271</v>
      </c>
      <c r="P41" s="10" t="s">
        <v>29</v>
      </c>
    </row>
    <row r="42" ht="15.75" customHeight="1">
      <c r="A42" s="2" t="s">
        <v>272</v>
      </c>
      <c r="B42" s="3" t="s">
        <v>17</v>
      </c>
      <c r="C42" s="4" t="s">
        <v>273</v>
      </c>
      <c r="D42" s="5" t="s">
        <v>133</v>
      </c>
      <c r="E42" s="5" t="s">
        <v>243</v>
      </c>
      <c r="F42" s="4" t="s">
        <v>21</v>
      </c>
      <c r="G42" s="4" t="s">
        <v>35</v>
      </c>
      <c r="H42" s="2" t="s">
        <v>36</v>
      </c>
      <c r="I42" s="9" t="s">
        <v>63</v>
      </c>
      <c r="J42" s="6">
        <v>2.0</v>
      </c>
      <c r="K42" s="7" t="s">
        <v>25</v>
      </c>
      <c r="L42" s="8" t="s">
        <v>274</v>
      </c>
      <c r="M42" s="8"/>
      <c r="N42" s="8" t="s">
        <v>27</v>
      </c>
      <c r="O42" s="4" t="s">
        <v>275</v>
      </c>
      <c r="P42" s="2" t="s">
        <v>29</v>
      </c>
    </row>
    <row r="43" ht="15.75" customHeight="1">
      <c r="A43" s="10" t="s">
        <v>276</v>
      </c>
      <c r="B43" s="3" t="s">
        <v>17</v>
      </c>
      <c r="C43" s="11" t="s">
        <v>277</v>
      </c>
      <c r="D43" s="12" t="s">
        <v>278</v>
      </c>
      <c r="E43" s="12" t="s">
        <v>52</v>
      </c>
      <c r="F43" s="11" t="s">
        <v>53</v>
      </c>
      <c r="G43" s="11" t="s">
        <v>22</v>
      </c>
      <c r="H43" s="10" t="s">
        <v>23</v>
      </c>
      <c r="I43" s="11" t="s">
        <v>117</v>
      </c>
      <c r="J43" s="6">
        <v>3.0</v>
      </c>
      <c r="K43" s="7" t="s">
        <v>25</v>
      </c>
      <c r="L43" s="8" t="s">
        <v>279</v>
      </c>
      <c r="M43" s="8"/>
      <c r="N43" s="8" t="s">
        <v>27</v>
      </c>
      <c r="O43" s="11" t="s">
        <v>280</v>
      </c>
      <c r="P43" s="10" t="s">
        <v>29</v>
      </c>
    </row>
    <row r="44" ht="15.75" customHeight="1">
      <c r="A44" s="10" t="s">
        <v>281</v>
      </c>
      <c r="B44" s="3" t="s">
        <v>17</v>
      </c>
      <c r="C44" s="11" t="s">
        <v>282</v>
      </c>
      <c r="D44" s="12" t="s">
        <v>283</v>
      </c>
      <c r="E44" s="12" t="s">
        <v>284</v>
      </c>
      <c r="F44" s="11" t="s">
        <v>44</v>
      </c>
      <c r="G44" s="11" t="s">
        <v>124</v>
      </c>
      <c r="H44" s="10" t="s">
        <v>36</v>
      </c>
      <c r="I44" s="13" t="s">
        <v>196</v>
      </c>
      <c r="J44" s="6">
        <v>2.0</v>
      </c>
      <c r="K44" s="7" t="s">
        <v>25</v>
      </c>
      <c r="L44" s="8" t="s">
        <v>285</v>
      </c>
      <c r="M44" s="8"/>
      <c r="N44" s="8" t="s">
        <v>27</v>
      </c>
      <c r="O44" s="11" t="s">
        <v>286</v>
      </c>
      <c r="P44" s="10" t="s">
        <v>29</v>
      </c>
    </row>
    <row r="45" ht="15.75" customHeight="1">
      <c r="A45" s="2" t="s">
        <v>287</v>
      </c>
      <c r="B45" s="3" t="s">
        <v>17</v>
      </c>
      <c r="C45" s="4" t="s">
        <v>288</v>
      </c>
      <c r="D45" s="5" t="s">
        <v>289</v>
      </c>
      <c r="E45" s="5" t="s">
        <v>290</v>
      </c>
      <c r="F45" s="4" t="s">
        <v>34</v>
      </c>
      <c r="G45" s="4" t="s">
        <v>35</v>
      </c>
      <c r="H45" s="2" t="s">
        <v>36</v>
      </c>
      <c r="I45" s="9" t="s">
        <v>98</v>
      </c>
      <c r="J45" s="6">
        <v>2.0</v>
      </c>
      <c r="K45" s="7" t="s">
        <v>25</v>
      </c>
      <c r="L45" s="8" t="s">
        <v>291</v>
      </c>
      <c r="M45" s="8"/>
      <c r="N45" s="8" t="s">
        <v>27</v>
      </c>
      <c r="O45" s="4" t="s">
        <v>292</v>
      </c>
      <c r="P45" s="2" t="s">
        <v>29</v>
      </c>
    </row>
    <row r="46" ht="15.75" customHeight="1">
      <c r="A46" s="2" t="s">
        <v>293</v>
      </c>
      <c r="B46" s="3" t="s">
        <v>17</v>
      </c>
      <c r="C46" s="4" t="s">
        <v>294</v>
      </c>
      <c r="D46" s="5" t="s">
        <v>295</v>
      </c>
      <c r="E46" s="5" t="s">
        <v>296</v>
      </c>
      <c r="F46" s="4" t="s">
        <v>297</v>
      </c>
      <c r="G46" s="4" t="s">
        <v>35</v>
      </c>
      <c r="H46" s="2" t="s">
        <v>36</v>
      </c>
      <c r="I46" s="4" t="s">
        <v>298</v>
      </c>
      <c r="J46" s="6">
        <v>3.0</v>
      </c>
      <c r="K46" s="7" t="s">
        <v>25</v>
      </c>
      <c r="L46" s="8" t="s">
        <v>299</v>
      </c>
      <c r="M46" s="8"/>
      <c r="N46" s="8" t="s">
        <v>27</v>
      </c>
      <c r="O46" s="4" t="s">
        <v>300</v>
      </c>
      <c r="P46" s="2" t="s">
        <v>29</v>
      </c>
    </row>
    <row r="47" ht="15.75" customHeight="1">
      <c r="A47" s="10" t="s">
        <v>301</v>
      </c>
      <c r="B47" s="3" t="s">
        <v>17</v>
      </c>
      <c r="C47" s="11" t="s">
        <v>57</v>
      </c>
      <c r="D47" s="12" t="s">
        <v>58</v>
      </c>
      <c r="E47" s="12" t="s">
        <v>59</v>
      </c>
      <c r="F47" s="11" t="s">
        <v>219</v>
      </c>
      <c r="G47" s="11" t="s">
        <v>61</v>
      </c>
      <c r="H47" s="10" t="s">
        <v>62</v>
      </c>
      <c r="I47" s="11" t="s">
        <v>302</v>
      </c>
      <c r="J47" s="6">
        <v>3.0</v>
      </c>
      <c r="K47" s="7" t="s">
        <v>25</v>
      </c>
      <c r="L47" s="8" t="s">
        <v>303</v>
      </c>
      <c r="M47" s="8"/>
      <c r="N47" s="8" t="s">
        <v>27</v>
      </c>
      <c r="O47" s="11" t="s">
        <v>304</v>
      </c>
      <c r="P47" s="10" t="s">
        <v>29</v>
      </c>
    </row>
    <row r="48" ht="15.75" customHeight="1">
      <c r="A48" s="2" t="s">
        <v>305</v>
      </c>
      <c r="B48" s="3" t="s">
        <v>17</v>
      </c>
      <c r="C48" s="4" t="s">
        <v>306</v>
      </c>
      <c r="D48" s="5" t="s">
        <v>32</v>
      </c>
      <c r="E48" s="5" t="s">
        <v>33</v>
      </c>
      <c r="F48" s="4" t="s">
        <v>34</v>
      </c>
      <c r="G48" s="4" t="s">
        <v>35</v>
      </c>
      <c r="H48" s="2" t="s">
        <v>36</v>
      </c>
      <c r="I48" s="9" t="s">
        <v>185</v>
      </c>
      <c r="J48" s="6">
        <v>4.0</v>
      </c>
      <c r="K48" s="7" t="s">
        <v>25</v>
      </c>
      <c r="L48" s="8" t="s">
        <v>307</v>
      </c>
      <c r="M48" s="8"/>
      <c r="N48" s="8" t="s">
        <v>27</v>
      </c>
      <c r="O48" s="4" t="s">
        <v>308</v>
      </c>
      <c r="P48" s="2" t="s">
        <v>29</v>
      </c>
    </row>
    <row r="49" ht="15.75" customHeight="1">
      <c r="A49" s="10" t="s">
        <v>309</v>
      </c>
      <c r="B49" s="3" t="s">
        <v>17</v>
      </c>
      <c r="C49" s="11" t="s">
        <v>310</v>
      </c>
      <c r="D49" s="12" t="s">
        <v>229</v>
      </c>
      <c r="E49" s="12" t="s">
        <v>104</v>
      </c>
      <c r="F49" s="11" t="s">
        <v>34</v>
      </c>
      <c r="G49" s="11" t="s">
        <v>35</v>
      </c>
      <c r="H49" s="10" t="s">
        <v>36</v>
      </c>
      <c r="I49" s="11" t="s">
        <v>37</v>
      </c>
      <c r="J49" s="6">
        <v>3.0</v>
      </c>
      <c r="K49" s="7" t="s">
        <v>25</v>
      </c>
      <c r="L49" s="8" t="s">
        <v>311</v>
      </c>
      <c r="M49" s="8"/>
      <c r="N49" s="8" t="s">
        <v>27</v>
      </c>
      <c r="O49" s="11" t="s">
        <v>312</v>
      </c>
      <c r="P49" s="10" t="s">
        <v>29</v>
      </c>
    </row>
    <row r="50" ht="15.75" customHeight="1">
      <c r="A50" s="10" t="s">
        <v>313</v>
      </c>
      <c r="B50" s="3" t="s">
        <v>17</v>
      </c>
      <c r="C50" s="11" t="s">
        <v>314</v>
      </c>
      <c r="D50" s="12" t="s">
        <v>82</v>
      </c>
      <c r="E50" s="12" t="s">
        <v>229</v>
      </c>
      <c r="F50" s="11" t="s">
        <v>34</v>
      </c>
      <c r="G50" s="11" t="s">
        <v>35</v>
      </c>
      <c r="H50" s="10" t="s">
        <v>36</v>
      </c>
      <c r="I50" s="13" t="s">
        <v>185</v>
      </c>
      <c r="J50" s="6">
        <v>4.0</v>
      </c>
      <c r="K50" s="7" t="s">
        <v>25</v>
      </c>
      <c r="L50" s="8" t="s">
        <v>315</v>
      </c>
      <c r="M50" s="8"/>
      <c r="N50" s="8" t="s">
        <v>27</v>
      </c>
      <c r="O50" s="11" t="s">
        <v>316</v>
      </c>
      <c r="P50" s="10" t="s">
        <v>29</v>
      </c>
    </row>
    <row r="51" ht="15.75" customHeight="1">
      <c r="A51" s="10" t="s">
        <v>317</v>
      </c>
      <c r="B51" s="3" t="s">
        <v>17</v>
      </c>
      <c r="C51" s="11" t="s">
        <v>318</v>
      </c>
      <c r="D51" s="12" t="s">
        <v>207</v>
      </c>
      <c r="E51" s="12" t="s">
        <v>319</v>
      </c>
      <c r="F51" s="11"/>
      <c r="G51" s="11"/>
      <c r="H51" s="10" t="s">
        <v>36</v>
      </c>
      <c r="I51" s="13" t="s">
        <v>185</v>
      </c>
      <c r="J51" s="6">
        <v>3.0</v>
      </c>
      <c r="K51" s="7" t="s">
        <v>25</v>
      </c>
      <c r="L51" s="8" t="s">
        <v>320</v>
      </c>
      <c r="M51" s="8"/>
      <c r="N51" s="8" t="s">
        <v>27</v>
      </c>
      <c r="O51" s="11" t="s">
        <v>321</v>
      </c>
      <c r="P51" s="10" t="s">
        <v>29</v>
      </c>
    </row>
    <row r="52" ht="15.75" customHeight="1">
      <c r="A52" s="2" t="s">
        <v>322</v>
      </c>
      <c r="B52" s="3" t="s">
        <v>17</v>
      </c>
      <c r="C52" s="4" t="s">
        <v>323</v>
      </c>
      <c r="D52" s="5" t="s">
        <v>234</v>
      </c>
      <c r="E52" s="5" t="s">
        <v>217</v>
      </c>
      <c r="F52" s="4"/>
      <c r="G52" s="4"/>
      <c r="H52" s="2" t="s">
        <v>36</v>
      </c>
      <c r="I52" s="4" t="s">
        <v>269</v>
      </c>
      <c r="J52" s="6">
        <v>2.0</v>
      </c>
      <c r="K52" s="7" t="s">
        <v>25</v>
      </c>
      <c r="L52" s="8" t="s">
        <v>324</v>
      </c>
      <c r="M52" s="8"/>
      <c r="N52" s="8" t="s">
        <v>27</v>
      </c>
      <c r="O52" s="4" t="s">
        <v>325</v>
      </c>
      <c r="P52" s="2" t="s">
        <v>29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0.0"/>
    <col customWidth="1" min="2" max="2" width="20.0"/>
    <col customWidth="1" min="3" max="26" width="8.71"/>
  </cols>
  <sheetData>
    <row r="1" ht="36.0" customHeight="1">
      <c r="A1" s="1" t="s">
        <v>326</v>
      </c>
      <c r="B1" s="1" t="s">
        <v>327</v>
      </c>
    </row>
    <row r="2">
      <c r="A2" s="6" t="s">
        <v>328</v>
      </c>
      <c r="B2" s="6">
        <v>31.0</v>
      </c>
    </row>
    <row r="3">
      <c r="A3" s="6" t="s">
        <v>329</v>
      </c>
      <c r="B3" s="6">
        <v>25.0</v>
      </c>
    </row>
    <row r="4">
      <c r="A4" s="6" t="s">
        <v>330</v>
      </c>
      <c r="B4" s="6">
        <v>24.0</v>
      </c>
    </row>
    <row r="5">
      <c r="A5" s="6" t="s">
        <v>331</v>
      </c>
      <c r="B5" s="6">
        <v>19.0</v>
      </c>
    </row>
    <row r="6">
      <c r="A6" s="6" t="s">
        <v>332</v>
      </c>
      <c r="B6" s="6">
        <v>15.0</v>
      </c>
    </row>
    <row r="7">
      <c r="A7" s="6" t="s">
        <v>333</v>
      </c>
      <c r="B7" s="6">
        <v>15.0</v>
      </c>
    </row>
    <row r="8">
      <c r="A8" s="6" t="s">
        <v>334</v>
      </c>
      <c r="B8" s="6">
        <v>14.0</v>
      </c>
    </row>
    <row r="9">
      <c r="A9" s="6" t="s">
        <v>335</v>
      </c>
      <c r="B9" s="6">
        <v>13.0</v>
      </c>
    </row>
    <row r="10">
      <c r="A10" s="6" t="s">
        <v>336</v>
      </c>
      <c r="B10" s="6">
        <v>12.0</v>
      </c>
    </row>
    <row r="11">
      <c r="A11" s="6" t="s">
        <v>337</v>
      </c>
      <c r="B11" s="6">
        <v>11.0</v>
      </c>
    </row>
    <row r="12">
      <c r="A12" s="6" t="s">
        <v>338</v>
      </c>
      <c r="B12" s="6">
        <v>10.0</v>
      </c>
    </row>
    <row r="13">
      <c r="A13" s="6" t="s">
        <v>339</v>
      </c>
      <c r="B13" s="6">
        <v>10.0</v>
      </c>
    </row>
    <row r="14">
      <c r="A14" s="6" t="s">
        <v>340</v>
      </c>
      <c r="B14" s="6">
        <v>10.0</v>
      </c>
    </row>
    <row r="15">
      <c r="A15" s="6" t="s">
        <v>341</v>
      </c>
      <c r="B15" s="6">
        <v>9.0</v>
      </c>
    </row>
    <row r="16">
      <c r="A16" s="6" t="s">
        <v>342</v>
      </c>
      <c r="B16" s="6">
        <v>9.0</v>
      </c>
    </row>
    <row r="17">
      <c r="A17" s="6" t="s">
        <v>343</v>
      </c>
      <c r="B17" s="6">
        <v>9.0</v>
      </c>
    </row>
    <row r="18">
      <c r="A18" s="6" t="s">
        <v>344</v>
      </c>
      <c r="B18" s="6">
        <v>9.0</v>
      </c>
    </row>
    <row r="19">
      <c r="A19" s="6" t="s">
        <v>345</v>
      </c>
      <c r="B19" s="6">
        <v>8.0</v>
      </c>
    </row>
    <row r="20">
      <c r="A20" s="6" t="s">
        <v>346</v>
      </c>
      <c r="B20" s="6">
        <v>6.0</v>
      </c>
    </row>
    <row r="21" ht="15.75" customHeight="1">
      <c r="A21" s="6" t="s">
        <v>347</v>
      </c>
      <c r="B21" s="6">
        <v>6.0</v>
      </c>
    </row>
    <row r="22" ht="15.75" customHeight="1">
      <c r="A22" s="6" t="s">
        <v>348</v>
      </c>
      <c r="B22" s="6">
        <v>6.0</v>
      </c>
    </row>
    <row r="23" ht="15.75" customHeight="1">
      <c r="A23" s="6" t="s">
        <v>349</v>
      </c>
      <c r="B23" s="6">
        <v>6.0</v>
      </c>
    </row>
    <row r="24" ht="15.75" customHeight="1">
      <c r="A24" s="6" t="s">
        <v>350</v>
      </c>
      <c r="B24" s="6">
        <v>6.0</v>
      </c>
    </row>
    <row r="25" ht="15.75" customHeight="1">
      <c r="A25" s="6" t="s">
        <v>351</v>
      </c>
      <c r="B25" s="6">
        <v>5.0</v>
      </c>
    </row>
    <row r="26" ht="15.75" customHeight="1">
      <c r="A26" s="6" t="s">
        <v>352</v>
      </c>
      <c r="B26" s="6">
        <v>5.0</v>
      </c>
    </row>
    <row r="27" ht="15.75" customHeight="1">
      <c r="A27" s="6" t="s">
        <v>353</v>
      </c>
      <c r="B27" s="6">
        <v>5.0</v>
      </c>
    </row>
    <row r="28" ht="15.75" customHeight="1">
      <c r="A28" s="6" t="s">
        <v>354</v>
      </c>
      <c r="B28" s="6">
        <v>4.0</v>
      </c>
    </row>
    <row r="29" ht="15.75" customHeight="1">
      <c r="A29" s="6" t="s">
        <v>355</v>
      </c>
      <c r="B29" s="6">
        <v>4.0</v>
      </c>
    </row>
    <row r="30" ht="15.75" customHeight="1">
      <c r="A30" s="6" t="s">
        <v>356</v>
      </c>
      <c r="B30" s="6">
        <v>4.0</v>
      </c>
    </row>
    <row r="31" ht="15.75" customHeight="1">
      <c r="A31" s="6" t="s">
        <v>357</v>
      </c>
      <c r="B31" s="6">
        <v>4.0</v>
      </c>
    </row>
    <row r="32" ht="15.75" customHeight="1">
      <c r="A32" s="6" t="s">
        <v>358</v>
      </c>
      <c r="B32" s="6">
        <v>4.0</v>
      </c>
    </row>
    <row r="33" ht="15.75" customHeight="1">
      <c r="A33" s="6" t="s">
        <v>359</v>
      </c>
      <c r="B33" s="6">
        <v>4.0</v>
      </c>
    </row>
    <row r="34" ht="15.75" customHeight="1">
      <c r="A34" s="6" t="s">
        <v>360</v>
      </c>
      <c r="B34" s="6">
        <v>4.0</v>
      </c>
    </row>
    <row r="35" ht="15.75" customHeight="1">
      <c r="A35" s="6" t="s">
        <v>361</v>
      </c>
      <c r="B35" s="6">
        <v>3.0</v>
      </c>
    </row>
    <row r="36" ht="15.75" customHeight="1">
      <c r="A36" s="6" t="s">
        <v>362</v>
      </c>
      <c r="B36" s="6">
        <v>3.0</v>
      </c>
    </row>
    <row r="37" ht="15.75" customHeight="1">
      <c r="A37" s="6" t="s">
        <v>363</v>
      </c>
      <c r="B37" s="6">
        <v>3.0</v>
      </c>
    </row>
    <row r="38" ht="15.75" customHeight="1">
      <c r="A38" s="6" t="s">
        <v>364</v>
      </c>
      <c r="B38" s="6">
        <v>3.0</v>
      </c>
    </row>
    <row r="39" ht="15.75" customHeight="1">
      <c r="A39" s="6" t="s">
        <v>365</v>
      </c>
      <c r="B39" s="6">
        <v>3.0</v>
      </c>
    </row>
    <row r="40" ht="15.75" customHeight="1">
      <c r="A40" s="6" t="s">
        <v>366</v>
      </c>
      <c r="B40" s="6">
        <v>3.0</v>
      </c>
    </row>
    <row r="41" ht="15.75" customHeight="1">
      <c r="A41" s="6" t="s">
        <v>367</v>
      </c>
      <c r="B41" s="6">
        <v>3.0</v>
      </c>
    </row>
    <row r="42" ht="15.75" customHeight="1">
      <c r="A42" s="6" t="s">
        <v>368</v>
      </c>
      <c r="B42" s="6">
        <v>3.0</v>
      </c>
    </row>
    <row r="43" ht="15.75" customHeight="1">
      <c r="A43" s="6" t="s">
        <v>369</v>
      </c>
      <c r="B43" s="6">
        <v>3.0</v>
      </c>
    </row>
    <row r="44" ht="15.75" customHeight="1">
      <c r="A44" s="6" t="s">
        <v>370</v>
      </c>
      <c r="B44" s="6">
        <v>3.0</v>
      </c>
    </row>
    <row r="45" ht="15.75" customHeight="1">
      <c r="A45" s="6" t="s">
        <v>371</v>
      </c>
      <c r="B45" s="6">
        <v>3.0</v>
      </c>
    </row>
    <row r="46" ht="15.75" customHeight="1">
      <c r="A46" s="6" t="s">
        <v>372</v>
      </c>
      <c r="B46" s="6">
        <v>3.0</v>
      </c>
    </row>
    <row r="47" ht="15.75" customHeight="1">
      <c r="A47" s="6" t="s">
        <v>373</v>
      </c>
      <c r="B47" s="6">
        <v>3.0</v>
      </c>
    </row>
    <row r="48" ht="15.75" customHeight="1">
      <c r="A48" s="10" t="s">
        <v>374</v>
      </c>
      <c r="B48" s="10">
        <v>2.0</v>
      </c>
    </row>
    <row r="49" ht="15.75" customHeight="1">
      <c r="A49" s="2" t="s">
        <v>375</v>
      </c>
      <c r="B49" s="2">
        <v>2.0</v>
      </c>
    </row>
    <row r="50" ht="15.75" customHeight="1">
      <c r="A50" s="10" t="s">
        <v>376</v>
      </c>
      <c r="B50" s="10">
        <v>2.0</v>
      </c>
    </row>
    <row r="51" ht="15.75" customHeight="1">
      <c r="A51" s="2" t="s">
        <v>377</v>
      </c>
      <c r="B51" s="2">
        <v>2.0</v>
      </c>
    </row>
    <row r="52" ht="15.75" customHeight="1">
      <c r="A52" s="10" t="s">
        <v>378</v>
      </c>
      <c r="B52" s="10">
        <v>2.0</v>
      </c>
    </row>
    <row r="53" ht="15.75" customHeight="1">
      <c r="A53" s="2" t="s">
        <v>379</v>
      </c>
      <c r="B53" s="2">
        <v>2.0</v>
      </c>
    </row>
    <row r="54" ht="15.75" customHeight="1">
      <c r="A54" s="10" t="s">
        <v>380</v>
      </c>
      <c r="B54" s="10">
        <v>2.0</v>
      </c>
    </row>
    <row r="55" ht="15.75" customHeight="1">
      <c r="A55" s="2" t="s">
        <v>381</v>
      </c>
      <c r="B55" s="2">
        <v>2.0</v>
      </c>
    </row>
    <row r="56" ht="15.75" customHeight="1">
      <c r="A56" s="10" t="s">
        <v>382</v>
      </c>
      <c r="B56" s="10">
        <v>2.0</v>
      </c>
    </row>
    <row r="57" ht="15.75" customHeight="1">
      <c r="A57" s="2" t="s">
        <v>383</v>
      </c>
      <c r="B57" s="2">
        <v>2.0</v>
      </c>
    </row>
    <row r="58" ht="15.75" customHeight="1">
      <c r="A58" s="10" t="s">
        <v>384</v>
      </c>
      <c r="B58" s="10">
        <v>2.0</v>
      </c>
    </row>
    <row r="59" ht="15.75" customHeight="1">
      <c r="A59" s="2" t="s">
        <v>385</v>
      </c>
      <c r="B59" s="2">
        <v>2.0</v>
      </c>
    </row>
    <row r="60" ht="15.75" customHeight="1">
      <c r="A60" s="10" t="s">
        <v>386</v>
      </c>
      <c r="B60" s="10">
        <v>2.0</v>
      </c>
    </row>
    <row r="61" ht="15.75" customHeight="1">
      <c r="A61" s="2" t="s">
        <v>387</v>
      </c>
      <c r="B61" s="2">
        <v>2.0</v>
      </c>
    </row>
    <row r="62" ht="15.75" customHeight="1">
      <c r="A62" s="10" t="s">
        <v>388</v>
      </c>
      <c r="B62" s="10">
        <v>2.0</v>
      </c>
    </row>
    <row r="63" ht="15.75" customHeight="1">
      <c r="A63" s="2" t="s">
        <v>389</v>
      </c>
      <c r="B63" s="2">
        <v>2.0</v>
      </c>
    </row>
    <row r="64" ht="15.75" customHeight="1">
      <c r="A64" s="10" t="s">
        <v>390</v>
      </c>
      <c r="B64" s="10">
        <v>2.0</v>
      </c>
    </row>
    <row r="65" ht="15.75" customHeight="1">
      <c r="A65" s="2" t="s">
        <v>391</v>
      </c>
      <c r="B65" s="2">
        <v>2.0</v>
      </c>
    </row>
    <row r="66" ht="15.75" customHeight="1">
      <c r="A66" s="10" t="s">
        <v>392</v>
      </c>
      <c r="B66" s="10">
        <v>2.0</v>
      </c>
    </row>
    <row r="67" ht="15.75" customHeight="1">
      <c r="A67" s="2" t="s">
        <v>393</v>
      </c>
      <c r="B67" s="2">
        <v>2.0</v>
      </c>
    </row>
    <row r="68" ht="15.75" customHeight="1">
      <c r="A68" s="10" t="s">
        <v>394</v>
      </c>
      <c r="B68" s="10">
        <v>2.0</v>
      </c>
    </row>
    <row r="69" ht="15.75" customHeight="1">
      <c r="A69" s="2" t="s">
        <v>395</v>
      </c>
      <c r="B69" s="2">
        <v>2.0</v>
      </c>
    </row>
    <row r="70" ht="15.75" customHeight="1">
      <c r="A70" s="10" t="s">
        <v>396</v>
      </c>
      <c r="B70" s="10">
        <v>2.0</v>
      </c>
    </row>
    <row r="71" ht="15.75" customHeight="1">
      <c r="A71" s="2" t="s">
        <v>397</v>
      </c>
      <c r="B71" s="2">
        <v>2.0</v>
      </c>
    </row>
    <row r="72" ht="15.75" customHeight="1">
      <c r="A72" s="10" t="s">
        <v>398</v>
      </c>
      <c r="B72" s="10">
        <v>2.0</v>
      </c>
    </row>
    <row r="73" ht="15.75" customHeight="1">
      <c r="A73" s="2" t="s">
        <v>399</v>
      </c>
      <c r="B73" s="2">
        <v>2.0</v>
      </c>
    </row>
    <row r="74" ht="15.75" customHeight="1">
      <c r="A74" s="10" t="s">
        <v>400</v>
      </c>
      <c r="B74" s="10">
        <v>2.0</v>
      </c>
    </row>
    <row r="75" ht="15.75" customHeight="1">
      <c r="A75" s="2" t="s">
        <v>401</v>
      </c>
      <c r="B75" s="2">
        <v>2.0</v>
      </c>
    </row>
    <row r="76" ht="15.75" customHeight="1">
      <c r="A76" s="10" t="s">
        <v>402</v>
      </c>
      <c r="B76" s="10">
        <v>2.0</v>
      </c>
    </row>
    <row r="77" ht="15.75" customHeight="1">
      <c r="A77" s="2" t="s">
        <v>403</v>
      </c>
      <c r="B77" s="2">
        <v>2.0</v>
      </c>
    </row>
    <row r="78" ht="15.75" customHeight="1">
      <c r="A78" s="10" t="s">
        <v>404</v>
      </c>
      <c r="B78" s="10">
        <v>1.0</v>
      </c>
    </row>
    <row r="79" ht="15.75" customHeight="1">
      <c r="A79" s="2" t="s">
        <v>405</v>
      </c>
      <c r="B79" s="2">
        <v>1.0</v>
      </c>
    </row>
    <row r="80" ht="15.75" customHeight="1">
      <c r="A80" s="10" t="s">
        <v>406</v>
      </c>
      <c r="B80" s="10">
        <v>1.0</v>
      </c>
    </row>
    <row r="81" ht="15.75" customHeight="1">
      <c r="A81" s="2" t="s">
        <v>407</v>
      </c>
      <c r="B81" s="2">
        <v>1.0</v>
      </c>
    </row>
    <row r="82" ht="15.75" customHeight="1">
      <c r="A82" s="10" t="s">
        <v>408</v>
      </c>
      <c r="B82" s="10">
        <v>1.0</v>
      </c>
    </row>
    <row r="83" ht="15.75" customHeight="1">
      <c r="A83" s="2" t="s">
        <v>409</v>
      </c>
      <c r="B83" s="2">
        <v>1.0</v>
      </c>
    </row>
    <row r="84" ht="15.75" customHeight="1">
      <c r="A84" s="10" t="s">
        <v>410</v>
      </c>
      <c r="B84" s="10">
        <v>1.0</v>
      </c>
    </row>
    <row r="85" ht="15.75" customHeight="1">
      <c r="A85" s="2" t="s">
        <v>411</v>
      </c>
      <c r="B85" s="2">
        <v>1.0</v>
      </c>
    </row>
    <row r="86" ht="15.75" customHeight="1">
      <c r="A86" s="10" t="s">
        <v>412</v>
      </c>
      <c r="B86" s="10">
        <v>1.0</v>
      </c>
    </row>
    <row r="87" ht="15.75" customHeight="1">
      <c r="A87" s="2" t="s">
        <v>413</v>
      </c>
      <c r="B87" s="2">
        <v>1.0</v>
      </c>
    </row>
    <row r="88" ht="15.75" customHeight="1">
      <c r="A88" s="10" t="s">
        <v>414</v>
      </c>
      <c r="B88" s="10">
        <v>1.0</v>
      </c>
    </row>
    <row r="89" ht="15.75" customHeight="1">
      <c r="A89" s="2" t="s">
        <v>415</v>
      </c>
      <c r="B89" s="2">
        <v>1.0</v>
      </c>
    </row>
    <row r="90" ht="15.75" customHeight="1">
      <c r="A90" s="10" t="s">
        <v>416</v>
      </c>
      <c r="B90" s="10">
        <v>1.0</v>
      </c>
    </row>
    <row r="91" ht="15.75" customHeight="1">
      <c r="A91" s="2" t="s">
        <v>417</v>
      </c>
      <c r="B91" s="2">
        <v>1.0</v>
      </c>
    </row>
    <row r="92" ht="15.75" customHeight="1">
      <c r="A92" s="10" t="s">
        <v>418</v>
      </c>
      <c r="B92" s="10">
        <v>1.0</v>
      </c>
    </row>
    <row r="93" ht="15.75" customHeight="1">
      <c r="A93" s="2" t="s">
        <v>419</v>
      </c>
      <c r="B93" s="2">
        <v>1.0</v>
      </c>
    </row>
    <row r="94" ht="15.75" customHeight="1">
      <c r="A94" s="10" t="s">
        <v>420</v>
      </c>
      <c r="B94" s="10">
        <v>1.0</v>
      </c>
    </row>
    <row r="95" ht="15.75" customHeight="1">
      <c r="A95" s="2" t="s">
        <v>421</v>
      </c>
      <c r="B95" s="2">
        <v>1.0</v>
      </c>
    </row>
    <row r="96" ht="15.75" customHeight="1">
      <c r="A96" s="10" t="s">
        <v>422</v>
      </c>
      <c r="B96" s="10">
        <v>1.0</v>
      </c>
    </row>
    <row r="97" ht="15.75" customHeight="1">
      <c r="A97" s="2" t="s">
        <v>423</v>
      </c>
      <c r="B97" s="2">
        <v>1.0</v>
      </c>
    </row>
    <row r="98" ht="15.75" customHeight="1">
      <c r="A98" s="10" t="s">
        <v>424</v>
      </c>
      <c r="B98" s="10">
        <v>1.0</v>
      </c>
    </row>
    <row r="99" ht="15.75" customHeight="1">
      <c r="A99" s="2" t="s">
        <v>425</v>
      </c>
      <c r="B99" s="2">
        <v>1.0</v>
      </c>
    </row>
    <row r="100" ht="15.75" customHeight="1">
      <c r="A100" s="10" t="s">
        <v>426</v>
      </c>
      <c r="B100" s="10">
        <v>1.0</v>
      </c>
    </row>
    <row r="101" ht="15.75" customHeight="1">
      <c r="A101" s="2" t="s">
        <v>427</v>
      </c>
      <c r="B101" s="2">
        <v>1.0</v>
      </c>
    </row>
    <row r="102" ht="15.75" customHeight="1">
      <c r="A102" s="10" t="s">
        <v>428</v>
      </c>
      <c r="B102" s="10">
        <v>1.0</v>
      </c>
    </row>
    <row r="103" ht="15.75" customHeight="1">
      <c r="A103" s="2" t="s">
        <v>429</v>
      </c>
      <c r="B103" s="2">
        <v>1.0</v>
      </c>
    </row>
    <row r="104" ht="15.75" customHeight="1">
      <c r="A104" s="10" t="s">
        <v>430</v>
      </c>
      <c r="B104" s="10">
        <v>1.0</v>
      </c>
    </row>
    <row r="105" ht="15.75" customHeight="1">
      <c r="A105" s="2" t="s">
        <v>431</v>
      </c>
      <c r="B105" s="2">
        <v>1.0</v>
      </c>
    </row>
    <row r="106" ht="15.75" customHeight="1">
      <c r="A106" s="10" t="s">
        <v>432</v>
      </c>
      <c r="B106" s="10">
        <v>1.0</v>
      </c>
    </row>
    <row r="107" ht="15.75" customHeight="1">
      <c r="A107" s="2" t="s">
        <v>433</v>
      </c>
      <c r="B107" s="2">
        <v>1.0</v>
      </c>
    </row>
    <row r="108" ht="15.75" customHeight="1">
      <c r="A108" s="10" t="s">
        <v>434</v>
      </c>
      <c r="B108" s="10">
        <v>1.0</v>
      </c>
    </row>
    <row r="109" ht="15.75" customHeight="1">
      <c r="A109" s="2" t="s">
        <v>435</v>
      </c>
      <c r="B109" s="2">
        <v>1.0</v>
      </c>
    </row>
    <row r="110" ht="15.75" customHeight="1">
      <c r="A110" s="10" t="s">
        <v>436</v>
      </c>
      <c r="B110" s="10">
        <v>1.0</v>
      </c>
    </row>
    <row r="111" ht="15.75" customHeight="1">
      <c r="A111" s="2" t="s">
        <v>437</v>
      </c>
      <c r="B111" s="2">
        <v>1.0</v>
      </c>
    </row>
    <row r="112" ht="15.75" customHeight="1">
      <c r="A112" s="10" t="s">
        <v>438</v>
      </c>
      <c r="B112" s="10">
        <v>1.0</v>
      </c>
    </row>
    <row r="113" ht="15.75" customHeight="1">
      <c r="A113" s="2" t="s">
        <v>439</v>
      </c>
      <c r="B113" s="2">
        <v>1.0</v>
      </c>
    </row>
    <row r="114" ht="15.75" customHeight="1">
      <c r="A114" s="10" t="s">
        <v>440</v>
      </c>
      <c r="B114" s="10">
        <v>1.0</v>
      </c>
    </row>
    <row r="115" ht="15.75" customHeight="1">
      <c r="A115" s="2" t="s">
        <v>441</v>
      </c>
      <c r="B115" s="2">
        <v>1.0</v>
      </c>
    </row>
    <row r="116" ht="15.75" customHeight="1">
      <c r="A116" s="10" t="s">
        <v>442</v>
      </c>
      <c r="B116" s="10">
        <v>1.0</v>
      </c>
    </row>
    <row r="117" ht="15.75" customHeight="1">
      <c r="A117" s="2" t="s">
        <v>443</v>
      </c>
      <c r="B117" s="2">
        <v>1.0</v>
      </c>
    </row>
    <row r="118" ht="15.75" customHeight="1">
      <c r="A118" s="10" t="s">
        <v>444</v>
      </c>
      <c r="B118" s="10">
        <v>1.0</v>
      </c>
    </row>
    <row r="119" ht="15.75" customHeight="1">
      <c r="A119" s="2" t="s">
        <v>445</v>
      </c>
      <c r="B119" s="2">
        <v>1.0</v>
      </c>
    </row>
    <row r="120" ht="15.75" customHeight="1">
      <c r="A120" s="10" t="s">
        <v>446</v>
      </c>
      <c r="B120" s="10">
        <v>1.0</v>
      </c>
    </row>
    <row r="121" ht="15.75" customHeight="1">
      <c r="A121" s="2" t="s">
        <v>447</v>
      </c>
      <c r="B121" s="2">
        <v>1.0</v>
      </c>
    </row>
    <row r="122" ht="15.75" customHeight="1">
      <c r="A122" s="10" t="s">
        <v>448</v>
      </c>
      <c r="B122" s="10">
        <v>1.0</v>
      </c>
    </row>
    <row r="123" ht="15.75" customHeight="1">
      <c r="A123" s="2" t="s">
        <v>449</v>
      </c>
      <c r="B123" s="2">
        <v>1.0</v>
      </c>
    </row>
    <row r="124" ht="15.75" customHeight="1">
      <c r="A124" s="10" t="s">
        <v>450</v>
      </c>
      <c r="B124" s="10">
        <v>1.0</v>
      </c>
    </row>
    <row r="125" ht="15.75" customHeight="1">
      <c r="A125" s="2" t="s">
        <v>451</v>
      </c>
      <c r="B125" s="2">
        <v>1.0</v>
      </c>
    </row>
    <row r="126" ht="15.75" customHeight="1">
      <c r="A126" s="10" t="s">
        <v>452</v>
      </c>
      <c r="B126" s="10">
        <v>1.0</v>
      </c>
    </row>
    <row r="127" ht="15.75" customHeight="1">
      <c r="A127" s="2" t="s">
        <v>453</v>
      </c>
      <c r="B127" s="2">
        <v>1.0</v>
      </c>
    </row>
    <row r="128" ht="15.75" customHeight="1">
      <c r="A128" s="10" t="s">
        <v>454</v>
      </c>
      <c r="B128" s="10">
        <v>1.0</v>
      </c>
    </row>
    <row r="129" ht="15.75" customHeight="1">
      <c r="A129" s="2" t="s">
        <v>455</v>
      </c>
      <c r="B129" s="2">
        <v>1.0</v>
      </c>
    </row>
    <row r="130" ht="15.75" customHeight="1">
      <c r="A130" s="10" t="s">
        <v>456</v>
      </c>
      <c r="B130" s="10">
        <v>1.0</v>
      </c>
    </row>
    <row r="131" ht="15.75" customHeight="1">
      <c r="A131" s="2" t="s">
        <v>457</v>
      </c>
      <c r="B131" s="2">
        <v>1.0</v>
      </c>
    </row>
    <row r="132" ht="15.75" customHeight="1">
      <c r="A132" s="10" t="s">
        <v>458</v>
      </c>
      <c r="B132" s="10">
        <v>1.0</v>
      </c>
    </row>
    <row r="133" ht="15.75" customHeight="1">
      <c r="A133" s="2" t="s">
        <v>459</v>
      </c>
      <c r="B133" s="2">
        <v>1.0</v>
      </c>
    </row>
    <row r="134" ht="15.75" customHeight="1">
      <c r="A134" s="10" t="s">
        <v>460</v>
      </c>
      <c r="B134" s="10">
        <v>1.0</v>
      </c>
    </row>
    <row r="135" ht="15.75" customHeight="1">
      <c r="A135" s="2" t="s">
        <v>461</v>
      </c>
      <c r="B135" s="2">
        <v>1.0</v>
      </c>
    </row>
    <row r="136" ht="15.75" customHeight="1">
      <c r="A136" s="10" t="s">
        <v>462</v>
      </c>
      <c r="B136" s="10">
        <v>1.0</v>
      </c>
    </row>
    <row r="137" ht="15.75" customHeight="1">
      <c r="A137" s="2" t="s">
        <v>463</v>
      </c>
      <c r="B137" s="2">
        <v>1.0</v>
      </c>
    </row>
    <row r="138" ht="15.75" customHeight="1">
      <c r="A138" s="10" t="s">
        <v>464</v>
      </c>
      <c r="B138" s="10">
        <v>1.0</v>
      </c>
    </row>
    <row r="139" ht="15.75" customHeight="1">
      <c r="A139" s="2" t="s">
        <v>465</v>
      </c>
      <c r="B139" s="2">
        <v>1.0</v>
      </c>
    </row>
    <row r="140" ht="15.75" customHeight="1">
      <c r="A140" s="10" t="s">
        <v>466</v>
      </c>
      <c r="B140" s="10">
        <v>1.0</v>
      </c>
    </row>
    <row r="141" ht="15.75" customHeight="1">
      <c r="A141" s="2" t="s">
        <v>467</v>
      </c>
      <c r="B141" s="2">
        <v>1.0</v>
      </c>
    </row>
    <row r="142" ht="15.75" customHeight="1">
      <c r="A142" s="10" t="s">
        <v>468</v>
      </c>
      <c r="B142" s="10">
        <v>1.0</v>
      </c>
    </row>
    <row r="143" ht="15.75" customHeight="1">
      <c r="A143" s="2" t="s">
        <v>469</v>
      </c>
      <c r="B143" s="2">
        <v>1.0</v>
      </c>
    </row>
    <row r="144" ht="15.75" customHeight="1">
      <c r="A144" s="10" t="s">
        <v>470</v>
      </c>
      <c r="B144" s="10">
        <v>1.0</v>
      </c>
    </row>
    <row r="145" ht="15.75" customHeight="1">
      <c r="A145" s="2" t="s">
        <v>471</v>
      </c>
      <c r="B145" s="2">
        <v>1.0</v>
      </c>
    </row>
    <row r="146" ht="15.75" customHeight="1">
      <c r="A146" s="10" t="s">
        <v>472</v>
      </c>
      <c r="B146" s="10">
        <v>1.0</v>
      </c>
    </row>
    <row r="147" ht="15.75" customHeight="1">
      <c r="A147" s="2" t="s">
        <v>473</v>
      </c>
      <c r="B147" s="2">
        <v>1.0</v>
      </c>
    </row>
    <row r="148" ht="15.75" customHeight="1">
      <c r="A148" s="10" t="s">
        <v>474</v>
      </c>
      <c r="B148" s="10">
        <v>1.0</v>
      </c>
    </row>
    <row r="149" ht="15.75" customHeight="1">
      <c r="A149" s="2" t="s">
        <v>475</v>
      </c>
      <c r="B149" s="2">
        <v>1.0</v>
      </c>
    </row>
    <row r="150" ht="15.75" customHeight="1">
      <c r="A150" s="10" t="s">
        <v>476</v>
      </c>
      <c r="B150" s="10">
        <v>1.0</v>
      </c>
    </row>
    <row r="151" ht="15.75" customHeight="1">
      <c r="A151" s="2" t="s">
        <v>477</v>
      </c>
      <c r="B151" s="2">
        <v>1.0</v>
      </c>
    </row>
    <row r="152" ht="15.75" customHeight="1">
      <c r="A152" s="10" t="s">
        <v>478</v>
      </c>
      <c r="B152" s="10">
        <v>1.0</v>
      </c>
    </row>
    <row r="153" ht="15.75" customHeight="1">
      <c r="A153" s="2" t="s">
        <v>479</v>
      </c>
      <c r="B153" s="2">
        <v>1.0</v>
      </c>
    </row>
    <row r="154" ht="15.75" customHeight="1">
      <c r="A154" s="10" t="s">
        <v>480</v>
      </c>
      <c r="B154" s="10">
        <v>1.0</v>
      </c>
    </row>
    <row r="155" ht="15.75" customHeight="1">
      <c r="A155" s="2" t="s">
        <v>481</v>
      </c>
      <c r="B155" s="2">
        <v>1.0</v>
      </c>
    </row>
    <row r="156" ht="15.75" customHeight="1">
      <c r="A156" s="10" t="s">
        <v>482</v>
      </c>
      <c r="B156" s="10">
        <v>1.0</v>
      </c>
    </row>
    <row r="157" ht="15.75" customHeight="1">
      <c r="A157" s="2" t="s">
        <v>483</v>
      </c>
      <c r="B157" s="2">
        <v>1.0</v>
      </c>
    </row>
    <row r="158" ht="15.75" customHeight="1">
      <c r="A158" s="10" t="s">
        <v>484</v>
      </c>
      <c r="B158" s="10">
        <v>1.0</v>
      </c>
    </row>
    <row r="159" ht="15.75" customHeight="1">
      <c r="A159" s="2" t="s">
        <v>485</v>
      </c>
      <c r="B159" s="2">
        <v>1.0</v>
      </c>
    </row>
    <row r="160" ht="15.75" customHeight="1">
      <c r="A160" s="10" t="s">
        <v>486</v>
      </c>
      <c r="B160" s="10">
        <v>1.0</v>
      </c>
    </row>
    <row r="161" ht="15.75" customHeight="1">
      <c r="A161" s="2" t="s">
        <v>487</v>
      </c>
      <c r="B161" s="2">
        <v>1.0</v>
      </c>
    </row>
    <row r="162" ht="15.75" customHeight="1">
      <c r="A162" s="10" t="s">
        <v>488</v>
      </c>
      <c r="B162" s="10">
        <v>1.0</v>
      </c>
    </row>
    <row r="163" ht="15.75" customHeight="1">
      <c r="A163" s="2" t="s">
        <v>489</v>
      </c>
      <c r="B163" s="2">
        <v>1.0</v>
      </c>
    </row>
    <row r="164" ht="15.75" customHeight="1">
      <c r="A164" s="10" t="s">
        <v>490</v>
      </c>
      <c r="B164" s="10">
        <v>1.0</v>
      </c>
    </row>
    <row r="165" ht="15.75" customHeight="1">
      <c r="A165" s="2" t="s">
        <v>491</v>
      </c>
      <c r="B165" s="2">
        <v>1.0</v>
      </c>
    </row>
    <row r="166" ht="15.75" customHeight="1">
      <c r="A166" s="10" t="s">
        <v>492</v>
      </c>
      <c r="B166" s="10">
        <v>1.0</v>
      </c>
    </row>
    <row r="167" ht="15.75" customHeight="1">
      <c r="A167" s="2" t="s">
        <v>493</v>
      </c>
      <c r="B167" s="2">
        <v>1.0</v>
      </c>
    </row>
    <row r="168" ht="15.75" customHeight="1">
      <c r="A168" s="10" t="s">
        <v>494</v>
      </c>
      <c r="B168" s="10">
        <v>1.0</v>
      </c>
    </row>
    <row r="169" ht="15.75" customHeight="1">
      <c r="A169" s="2" t="s">
        <v>495</v>
      </c>
      <c r="B169" s="2">
        <v>1.0</v>
      </c>
    </row>
    <row r="170" ht="15.75" customHeight="1">
      <c r="A170" s="10" t="s">
        <v>496</v>
      </c>
      <c r="B170" s="10">
        <v>1.0</v>
      </c>
    </row>
    <row r="171" ht="15.75" customHeight="1">
      <c r="A171" s="2" t="s">
        <v>497</v>
      </c>
      <c r="B171" s="2">
        <v>1.0</v>
      </c>
    </row>
    <row r="172" ht="15.75" customHeight="1">
      <c r="A172" s="10" t="s">
        <v>498</v>
      </c>
      <c r="B172" s="10">
        <v>1.0</v>
      </c>
    </row>
    <row r="173" ht="15.75" customHeight="1">
      <c r="A173" s="2" t="s">
        <v>499</v>
      </c>
      <c r="B173" s="2">
        <v>1.0</v>
      </c>
    </row>
    <row r="174" ht="15.75" customHeight="1">
      <c r="A174" s="10" t="s">
        <v>500</v>
      </c>
      <c r="B174" s="10">
        <v>1.0</v>
      </c>
    </row>
    <row r="175" ht="15.75" customHeight="1">
      <c r="A175" s="2" t="s">
        <v>501</v>
      </c>
      <c r="B175" s="2">
        <v>1.0</v>
      </c>
    </row>
    <row r="176" ht="15.75" customHeight="1">
      <c r="A176" s="10" t="s">
        <v>502</v>
      </c>
      <c r="B176" s="10">
        <v>1.0</v>
      </c>
    </row>
    <row r="177" ht="15.75" customHeight="1">
      <c r="A177" s="2" t="s">
        <v>503</v>
      </c>
      <c r="B177" s="2">
        <v>1.0</v>
      </c>
    </row>
    <row r="178" ht="15.75" customHeight="1">
      <c r="A178" s="10" t="s">
        <v>504</v>
      </c>
      <c r="B178" s="10">
        <v>1.0</v>
      </c>
    </row>
    <row r="179" ht="15.75" customHeight="1">
      <c r="A179" s="2" t="s">
        <v>505</v>
      </c>
      <c r="B179" s="2">
        <v>1.0</v>
      </c>
    </row>
    <row r="180" ht="15.75" customHeight="1">
      <c r="A180" s="10" t="s">
        <v>506</v>
      </c>
      <c r="B180" s="10">
        <v>1.0</v>
      </c>
    </row>
    <row r="181" ht="15.75" customHeight="1">
      <c r="A181" s="2" t="s">
        <v>507</v>
      </c>
      <c r="B181" s="2">
        <v>1.0</v>
      </c>
    </row>
    <row r="182" ht="15.75" customHeight="1">
      <c r="A182" s="10" t="s">
        <v>508</v>
      </c>
      <c r="B182" s="10">
        <v>1.0</v>
      </c>
    </row>
    <row r="183" ht="15.75" customHeight="1">
      <c r="A183" s="2" t="s">
        <v>509</v>
      </c>
      <c r="B183" s="2">
        <v>1.0</v>
      </c>
    </row>
    <row r="184" ht="15.75" customHeight="1">
      <c r="A184" s="10" t="s">
        <v>510</v>
      </c>
      <c r="B184" s="10">
        <v>1.0</v>
      </c>
    </row>
    <row r="185" ht="15.75" customHeight="1">
      <c r="A185" s="2" t="s">
        <v>511</v>
      </c>
      <c r="B185" s="2">
        <v>1.0</v>
      </c>
    </row>
    <row r="186" ht="15.75" customHeight="1">
      <c r="A186" s="10" t="s">
        <v>512</v>
      </c>
      <c r="B186" s="10">
        <v>1.0</v>
      </c>
    </row>
    <row r="187" ht="15.75" customHeight="1">
      <c r="A187" s="2" t="s">
        <v>513</v>
      </c>
      <c r="B187" s="2">
        <v>1.0</v>
      </c>
    </row>
    <row r="188" ht="15.75" customHeight="1">
      <c r="A188" s="10" t="s">
        <v>514</v>
      </c>
      <c r="B188" s="10">
        <v>1.0</v>
      </c>
    </row>
    <row r="189" ht="15.75" customHeight="1">
      <c r="A189" s="2" t="s">
        <v>515</v>
      </c>
      <c r="B189" s="2">
        <v>1.0</v>
      </c>
    </row>
    <row r="190" ht="15.75" customHeight="1">
      <c r="A190" s="10" t="s">
        <v>516</v>
      </c>
      <c r="B190" s="10">
        <v>1.0</v>
      </c>
    </row>
    <row r="191" ht="15.75" customHeight="1">
      <c r="A191" s="2" t="s">
        <v>517</v>
      </c>
      <c r="B191" s="2">
        <v>1.0</v>
      </c>
    </row>
    <row r="192" ht="15.75" customHeight="1">
      <c r="A192" s="10" t="s">
        <v>518</v>
      </c>
      <c r="B192" s="10">
        <v>1.0</v>
      </c>
    </row>
    <row r="193" ht="15.75" customHeight="1">
      <c r="A193" s="2" t="s">
        <v>519</v>
      </c>
      <c r="B193" s="2">
        <v>1.0</v>
      </c>
    </row>
    <row r="194" ht="15.75" customHeight="1">
      <c r="A194" s="10" t="s">
        <v>520</v>
      </c>
      <c r="B194" s="10">
        <v>1.0</v>
      </c>
    </row>
    <row r="195" ht="15.75" customHeight="1">
      <c r="A195" s="2" t="s">
        <v>521</v>
      </c>
      <c r="B195" s="2">
        <v>1.0</v>
      </c>
    </row>
    <row r="196" ht="15.75" customHeight="1">
      <c r="A196" s="10" t="s">
        <v>522</v>
      </c>
      <c r="B196" s="10">
        <v>1.0</v>
      </c>
    </row>
    <row r="197" ht="15.75" customHeight="1">
      <c r="A197" s="2" t="s">
        <v>523</v>
      </c>
      <c r="B197" s="2">
        <v>1.0</v>
      </c>
    </row>
    <row r="198" ht="15.75" customHeight="1">
      <c r="A198" s="10" t="s">
        <v>524</v>
      </c>
      <c r="B198" s="10">
        <v>1.0</v>
      </c>
    </row>
    <row r="199" ht="15.75" customHeight="1">
      <c r="A199" s="2" t="s">
        <v>525</v>
      </c>
      <c r="B199" s="2">
        <v>1.0</v>
      </c>
    </row>
    <row r="200" ht="15.75" customHeight="1">
      <c r="A200" s="10" t="s">
        <v>526</v>
      </c>
      <c r="B200" s="10">
        <v>1.0</v>
      </c>
    </row>
    <row r="201" ht="15.75" customHeight="1">
      <c r="A201" s="2" t="s">
        <v>527</v>
      </c>
      <c r="B201" s="2">
        <v>1.0</v>
      </c>
    </row>
    <row r="202" ht="15.75" customHeight="1">
      <c r="A202" s="10" t="s">
        <v>528</v>
      </c>
      <c r="B202" s="10">
        <v>1.0</v>
      </c>
    </row>
    <row r="203" ht="15.75" customHeight="1">
      <c r="A203" s="2" t="s">
        <v>529</v>
      </c>
      <c r="B203" s="2">
        <v>1.0</v>
      </c>
    </row>
    <row r="204" ht="15.75" customHeight="1">
      <c r="A204" s="10" t="s">
        <v>530</v>
      </c>
      <c r="B204" s="10">
        <v>1.0</v>
      </c>
    </row>
    <row r="205" ht="15.75" customHeight="1">
      <c r="A205" s="2" t="s">
        <v>531</v>
      </c>
      <c r="B205" s="2">
        <v>1.0</v>
      </c>
    </row>
    <row r="206" ht="15.75" customHeight="1">
      <c r="A206" s="10" t="s">
        <v>532</v>
      </c>
      <c r="B206" s="10">
        <v>1.0</v>
      </c>
    </row>
    <row r="207" ht="15.75" customHeight="1">
      <c r="A207" s="2" t="s">
        <v>533</v>
      </c>
      <c r="B207" s="2">
        <v>1.0</v>
      </c>
    </row>
    <row r="208" ht="15.75" customHeight="1">
      <c r="A208" s="10" t="s">
        <v>534</v>
      </c>
      <c r="B208" s="10">
        <v>1.0</v>
      </c>
    </row>
    <row r="209" ht="15.75" customHeight="1">
      <c r="A209" s="2" t="s">
        <v>535</v>
      </c>
      <c r="B209" s="2">
        <v>1.0</v>
      </c>
    </row>
    <row r="210" ht="15.75" customHeight="1">
      <c r="A210" s="10" t="s">
        <v>536</v>
      </c>
      <c r="B210" s="10">
        <v>1.0</v>
      </c>
    </row>
    <row r="211" ht="15.75" customHeight="1">
      <c r="A211" s="2" t="s">
        <v>537</v>
      </c>
      <c r="B211" s="2">
        <v>1.0</v>
      </c>
    </row>
    <row r="212" ht="15.75" customHeight="1">
      <c r="A212" s="10" t="s">
        <v>538</v>
      </c>
      <c r="B212" s="10">
        <v>1.0</v>
      </c>
    </row>
    <row r="213" ht="15.75" customHeight="1">
      <c r="A213" s="2" t="s">
        <v>539</v>
      </c>
      <c r="B213" s="2">
        <v>1.0</v>
      </c>
    </row>
    <row r="214" ht="15.75" customHeight="1">
      <c r="A214" s="10" t="s">
        <v>540</v>
      </c>
      <c r="B214" s="10">
        <v>1.0</v>
      </c>
    </row>
    <row r="215" ht="15.75" customHeight="1">
      <c r="A215" s="2" t="s">
        <v>541</v>
      </c>
      <c r="B215" s="2">
        <v>1.0</v>
      </c>
    </row>
    <row r="216" ht="15.75" customHeight="1">
      <c r="A216" s="10" t="s">
        <v>542</v>
      </c>
      <c r="B216" s="10">
        <v>1.0</v>
      </c>
    </row>
    <row r="217" ht="15.75" customHeight="1">
      <c r="A217" s="2" t="s">
        <v>543</v>
      </c>
      <c r="B217" s="2">
        <v>1.0</v>
      </c>
    </row>
    <row r="218" ht="15.75" customHeight="1">
      <c r="A218" s="10" t="s">
        <v>544</v>
      </c>
      <c r="B218" s="10">
        <v>1.0</v>
      </c>
    </row>
    <row r="219" ht="15.75" customHeight="1">
      <c r="A219" s="2" t="s">
        <v>545</v>
      </c>
      <c r="B219" s="2">
        <v>1.0</v>
      </c>
    </row>
    <row r="220" ht="15.75" customHeight="1">
      <c r="A220" s="10" t="s">
        <v>546</v>
      </c>
      <c r="B220" s="10">
        <v>1.0</v>
      </c>
    </row>
    <row r="221" ht="15.75" customHeight="1">
      <c r="A221" s="2" t="s">
        <v>547</v>
      </c>
      <c r="B221" s="2">
        <v>1.0</v>
      </c>
    </row>
    <row r="222" ht="15.75" customHeight="1">
      <c r="A222" s="10" t="s">
        <v>548</v>
      </c>
      <c r="B222" s="10">
        <v>1.0</v>
      </c>
    </row>
    <row r="223" ht="15.75" customHeight="1">
      <c r="A223" s="2" t="s">
        <v>549</v>
      </c>
      <c r="B223" s="2">
        <v>1.0</v>
      </c>
    </row>
    <row r="224" ht="15.75" customHeight="1">
      <c r="A224" s="10" t="s">
        <v>550</v>
      </c>
      <c r="B224" s="10">
        <v>1.0</v>
      </c>
    </row>
    <row r="225" ht="15.75" customHeight="1">
      <c r="A225" s="2" t="s">
        <v>551</v>
      </c>
      <c r="B225" s="2">
        <v>1.0</v>
      </c>
    </row>
    <row r="226" ht="15.75" customHeight="1">
      <c r="A226" s="10" t="s">
        <v>552</v>
      </c>
      <c r="B226" s="10">
        <v>1.0</v>
      </c>
    </row>
    <row r="227" ht="15.75" customHeight="1">
      <c r="A227" s="2" t="s">
        <v>553</v>
      </c>
      <c r="B227" s="2">
        <v>1.0</v>
      </c>
    </row>
    <row r="228" ht="15.75" customHeight="1">
      <c r="A228" s="10" t="s">
        <v>554</v>
      </c>
      <c r="B228" s="10">
        <v>1.0</v>
      </c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6.0"/>
    <col customWidth="1" min="3" max="26" width="8.71"/>
  </cols>
  <sheetData>
    <row r="1">
      <c r="A1" s="14" t="s">
        <v>555</v>
      </c>
      <c r="B1" s="15"/>
      <c r="C1" s="16"/>
    </row>
    <row r="3">
      <c r="A3" s="17" t="s">
        <v>1</v>
      </c>
      <c r="B3" s="17" t="s">
        <v>556</v>
      </c>
    </row>
    <row r="4">
      <c r="A4" s="3" t="s">
        <v>17</v>
      </c>
      <c r="B4" s="3">
        <v>51.0</v>
      </c>
    </row>
    <row r="6">
      <c r="A6" s="17" t="s">
        <v>557</v>
      </c>
      <c r="B6" s="17" t="s">
        <v>558</v>
      </c>
    </row>
    <row r="7">
      <c r="A7" s="2" t="s">
        <v>559</v>
      </c>
      <c r="B7" s="5">
        <f>COUNTA('AI + Web Search Data'!A2:A52)</f>
        <v>51</v>
      </c>
    </row>
    <row r="8">
      <c r="A8" s="10" t="s">
        <v>560</v>
      </c>
      <c r="B8" s="12">
        <f>COUNTIF('AI + Web Search Data'!J2:J52, "&gt;0")</f>
        <v>51</v>
      </c>
    </row>
    <row r="9">
      <c r="A9" s="2" t="s">
        <v>561</v>
      </c>
      <c r="B9" s="5">
        <f>SUM('AI + Web Search Data'!J2:J52)</f>
        <v>146</v>
      </c>
    </row>
    <row r="10">
      <c r="A10" s="10" t="s">
        <v>562</v>
      </c>
      <c r="B10" s="12">
        <v>1453.0</v>
      </c>
    </row>
    <row r="11">
      <c r="A11" s="2" t="s">
        <v>563</v>
      </c>
      <c r="B11" s="5">
        <v>51.0</v>
      </c>
    </row>
    <row r="12">
      <c r="A12" s="10" t="s">
        <v>564</v>
      </c>
      <c r="B12" s="12">
        <f>ROUND(SUM('AI + Web Search Data'!J2:J52)/COUNTA('AI + Web Search Data'!A2:A52),1)</f>
        <v>2.9</v>
      </c>
    </row>
    <row r="13">
      <c r="A13" s="2" t="s">
        <v>565</v>
      </c>
      <c r="B13" s="5">
        <f>COUNTBLANK('AI + Web Search Data'!D2:D52)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00.0"/>
    <col customWidth="1" min="3" max="26" width="8.71"/>
  </cols>
  <sheetData>
    <row r="1">
      <c r="A1" s="14" t="s">
        <v>566</v>
      </c>
      <c r="B1" s="16"/>
    </row>
    <row r="3" ht="72.0" customHeight="1">
      <c r="A3" s="12" t="s">
        <v>567</v>
      </c>
      <c r="B3" s="4" t="s">
        <v>568</v>
      </c>
    </row>
    <row r="4" ht="72.0" customHeight="1">
      <c r="A4" s="12" t="s">
        <v>569</v>
      </c>
      <c r="B4" s="4" t="s">
        <v>570</v>
      </c>
    </row>
    <row r="5" ht="72.0" customHeight="1">
      <c r="A5" s="12" t="s">
        <v>571</v>
      </c>
      <c r="B5" s="4" t="s">
        <v>572</v>
      </c>
    </row>
    <row r="6" ht="72.0" customHeight="1">
      <c r="A6" s="12" t="s">
        <v>573</v>
      </c>
      <c r="B6" s="4" t="s">
        <v>574</v>
      </c>
    </row>
    <row r="7" ht="72.0" customHeight="1">
      <c r="A7" s="12" t="s">
        <v>575</v>
      </c>
      <c r="B7" s="4" t="s">
        <v>576</v>
      </c>
    </row>
    <row r="8" ht="72.0" customHeight="1">
      <c r="A8" s="12" t="s">
        <v>577</v>
      </c>
      <c r="B8" s="4" t="s">
        <v>578</v>
      </c>
    </row>
    <row r="9" ht="72.0" customHeight="1">
      <c r="A9" s="12" t="s">
        <v>579</v>
      </c>
      <c r="B9" s="4" t="s">
        <v>580</v>
      </c>
    </row>
    <row r="10" ht="72.0" customHeight="1">
      <c r="A10" s="12" t="s">
        <v>581</v>
      </c>
      <c r="B10" s="4" t="s">
        <v>582</v>
      </c>
    </row>
    <row r="11" ht="72.0" customHeight="1">
      <c r="A11" s="12" t="s">
        <v>583</v>
      </c>
      <c r="B11" s="4" t="s">
        <v>584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2" width="34.0"/>
    <col customWidth="1" min="3" max="4" width="10.0"/>
    <col customWidth="1" min="5" max="5" width="22.0"/>
    <col customWidth="1" min="6" max="6" width="28.0"/>
    <col customWidth="1" min="7" max="7" width="20.0"/>
    <col customWidth="1" min="8" max="26" width="8.71"/>
  </cols>
  <sheetData>
    <row r="1">
      <c r="A1" s="18" t="s">
        <v>585</v>
      </c>
    </row>
    <row r="2" ht="42.0" customHeight="1">
      <c r="A2" s="19" t="s">
        <v>586</v>
      </c>
      <c r="B2" s="15"/>
      <c r="C2" s="15"/>
      <c r="D2" s="15"/>
      <c r="E2" s="15"/>
      <c r="F2" s="15"/>
      <c r="G2" s="16"/>
    </row>
    <row r="3" ht="27.75" customHeight="1">
      <c r="A3" s="19" t="s">
        <v>587</v>
      </c>
      <c r="B3" s="15"/>
      <c r="C3" s="15"/>
      <c r="D3" s="15"/>
      <c r="E3" s="15"/>
      <c r="F3" s="15"/>
      <c r="G3" s="16"/>
    </row>
    <row r="5">
      <c r="A5" s="20" t="s">
        <v>0</v>
      </c>
      <c r="B5" s="20" t="s">
        <v>588</v>
      </c>
      <c r="C5" s="20" t="s">
        <v>3</v>
      </c>
      <c r="D5" s="20" t="s">
        <v>4</v>
      </c>
      <c r="E5" s="20" t="s">
        <v>589</v>
      </c>
      <c r="F5" s="20" t="s">
        <v>590</v>
      </c>
      <c r="G5" s="20" t="s">
        <v>591</v>
      </c>
    </row>
    <row r="6">
      <c r="A6" s="21" t="s">
        <v>86</v>
      </c>
      <c r="B6" s="21" t="s">
        <v>592</v>
      </c>
      <c r="C6" s="21">
        <v>6.0</v>
      </c>
      <c r="D6" s="21">
        <v>17.17</v>
      </c>
      <c r="E6" s="21" t="s">
        <v>593</v>
      </c>
      <c r="F6" s="21" t="s">
        <v>594</v>
      </c>
      <c r="G6" s="21" t="s">
        <v>595</v>
      </c>
    </row>
    <row r="7">
      <c r="A7" s="21" t="s">
        <v>94</v>
      </c>
      <c r="B7" s="21" t="s">
        <v>596</v>
      </c>
      <c r="C7" s="21">
        <v>6.75</v>
      </c>
      <c r="D7" s="21">
        <v>18.56</v>
      </c>
      <c r="E7" s="21" t="s">
        <v>597</v>
      </c>
      <c r="F7" s="21" t="s">
        <v>598</v>
      </c>
      <c r="G7" s="21" t="s">
        <v>595</v>
      </c>
    </row>
    <row r="8">
      <c r="A8" s="21" t="s">
        <v>73</v>
      </c>
      <c r="B8" s="21" t="s">
        <v>599</v>
      </c>
      <c r="C8" s="21">
        <v>6.7</v>
      </c>
      <c r="D8" s="21">
        <v>16.84</v>
      </c>
      <c r="E8" s="21" t="s">
        <v>593</v>
      </c>
      <c r="F8" s="21" t="s">
        <v>600</v>
      </c>
      <c r="G8" s="21" t="s">
        <v>601</v>
      </c>
    </row>
    <row r="9">
      <c r="A9" s="21" t="s">
        <v>113</v>
      </c>
      <c r="B9" s="21" t="s">
        <v>602</v>
      </c>
      <c r="C9" s="21">
        <v>6.98</v>
      </c>
      <c r="D9" s="21">
        <v>19.13</v>
      </c>
      <c r="E9" s="21" t="s">
        <v>603</v>
      </c>
      <c r="F9" s="21"/>
      <c r="G9" s="21" t="s">
        <v>604</v>
      </c>
    </row>
    <row r="10">
      <c r="A10" s="21" t="s">
        <v>149</v>
      </c>
      <c r="B10" s="21" t="s">
        <v>605</v>
      </c>
      <c r="C10" s="21">
        <v>7.0</v>
      </c>
      <c r="D10" s="21">
        <v>18.25</v>
      </c>
      <c r="E10" s="21" t="s">
        <v>593</v>
      </c>
      <c r="F10" s="21" t="s">
        <v>594</v>
      </c>
      <c r="G10" s="21" t="s">
        <v>601</v>
      </c>
    </row>
    <row r="11">
      <c r="A11" s="21" t="s">
        <v>174</v>
      </c>
      <c r="B11" s="21" t="s">
        <v>606</v>
      </c>
      <c r="C11" s="21">
        <v>8.8</v>
      </c>
      <c r="D11" s="21">
        <v>32.54</v>
      </c>
      <c r="E11" s="21" t="s">
        <v>593</v>
      </c>
      <c r="F11" s="21" t="s">
        <v>600</v>
      </c>
      <c r="G11" s="21" t="s">
        <v>601</v>
      </c>
    </row>
    <row r="12">
      <c r="A12" s="21" t="s">
        <v>167</v>
      </c>
      <c r="B12" s="21" t="s">
        <v>607</v>
      </c>
      <c r="C12" s="21">
        <v>9.71</v>
      </c>
      <c r="D12" s="21">
        <v>29.34</v>
      </c>
      <c r="E12" s="21" t="s">
        <v>603</v>
      </c>
      <c r="F12" s="21"/>
      <c r="G12" s="21" t="s">
        <v>604</v>
      </c>
    </row>
    <row r="13">
      <c r="A13" s="21" t="s">
        <v>199</v>
      </c>
      <c r="B13" s="21" t="s">
        <v>608</v>
      </c>
      <c r="C13" s="21">
        <v>4.85</v>
      </c>
      <c r="D13" s="21">
        <v>9.3</v>
      </c>
      <c r="E13" s="21" t="s">
        <v>603</v>
      </c>
      <c r="F13" s="21"/>
      <c r="G13" s="21" t="s">
        <v>604</v>
      </c>
    </row>
    <row r="14">
      <c r="A14" s="21" t="s">
        <v>210</v>
      </c>
      <c r="B14" s="21" t="s">
        <v>609</v>
      </c>
      <c r="C14" s="21">
        <v>6.2</v>
      </c>
      <c r="D14" s="21">
        <v>13.65</v>
      </c>
      <c r="E14" s="21" t="s">
        <v>603</v>
      </c>
      <c r="F14" s="21"/>
      <c r="G14" s="21" t="s">
        <v>604</v>
      </c>
    </row>
    <row r="15">
      <c r="A15" s="21" t="s">
        <v>227</v>
      </c>
      <c r="B15" s="21" t="s">
        <v>610</v>
      </c>
      <c r="C15" s="21">
        <v>5.95</v>
      </c>
      <c r="D15" s="21">
        <v>16.09</v>
      </c>
      <c r="E15" s="21" t="s">
        <v>603</v>
      </c>
      <c r="F15" s="21"/>
      <c r="G15" s="21" t="s">
        <v>604</v>
      </c>
    </row>
    <row r="16">
      <c r="A16" s="21" t="s">
        <v>237</v>
      </c>
      <c r="B16" s="21" t="s">
        <v>611</v>
      </c>
      <c r="C16" s="21">
        <v>5.95</v>
      </c>
      <c r="D16" s="21">
        <v>16.09</v>
      </c>
      <c r="E16" s="21" t="s">
        <v>593</v>
      </c>
      <c r="F16" s="21" t="s">
        <v>594</v>
      </c>
      <c r="G16" s="21" t="s">
        <v>601</v>
      </c>
    </row>
    <row r="17">
      <c r="A17" s="21" t="s">
        <v>257</v>
      </c>
      <c r="B17" s="21" t="s">
        <v>612</v>
      </c>
      <c r="C17" s="21">
        <v>5.95</v>
      </c>
      <c r="D17" s="21">
        <v>16.09</v>
      </c>
      <c r="E17" s="21" t="s">
        <v>593</v>
      </c>
      <c r="F17" s="21" t="s">
        <v>594</v>
      </c>
      <c r="G17" s="21" t="s">
        <v>601</v>
      </c>
    </row>
    <row r="18">
      <c r="A18" s="21" t="s">
        <v>246</v>
      </c>
      <c r="B18" s="21" t="s">
        <v>613</v>
      </c>
      <c r="C18" s="21">
        <v>6.9</v>
      </c>
      <c r="D18" s="21">
        <v>16.9</v>
      </c>
      <c r="E18" s="21" t="s">
        <v>593</v>
      </c>
      <c r="F18" s="21" t="s">
        <v>600</v>
      </c>
      <c r="G18" s="21" t="s">
        <v>601</v>
      </c>
    </row>
    <row r="19">
      <c r="A19" s="21" t="s">
        <v>253</v>
      </c>
      <c r="B19" s="21" t="s">
        <v>614</v>
      </c>
      <c r="C19" s="21">
        <v>5.95</v>
      </c>
      <c r="D19" s="21">
        <v>17.15</v>
      </c>
      <c r="E19" s="21" t="s">
        <v>615</v>
      </c>
      <c r="F19" s="21" t="s">
        <v>616</v>
      </c>
      <c r="G19" s="21" t="s">
        <v>601</v>
      </c>
    </row>
    <row r="20">
      <c r="A20" s="21" t="s">
        <v>276</v>
      </c>
      <c r="B20" s="21" t="s">
        <v>617</v>
      </c>
      <c r="C20" s="21">
        <v>8.87</v>
      </c>
      <c r="D20" s="21">
        <v>29.99</v>
      </c>
      <c r="E20" s="21" t="s">
        <v>593</v>
      </c>
      <c r="F20" s="21" t="s">
        <v>618</v>
      </c>
      <c r="G20" s="21" t="s">
        <v>595</v>
      </c>
    </row>
    <row r="21" ht="15.75" customHeight="1">
      <c r="A21" s="21" t="s">
        <v>261</v>
      </c>
      <c r="B21" s="21" t="s">
        <v>619</v>
      </c>
      <c r="C21" s="21">
        <v>5.95</v>
      </c>
      <c r="D21" s="21">
        <v>16.09</v>
      </c>
      <c r="E21" s="21" t="s">
        <v>593</v>
      </c>
      <c r="F21" s="21" t="s">
        <v>600</v>
      </c>
      <c r="G21" s="21" t="s">
        <v>601</v>
      </c>
    </row>
    <row r="22" ht="15.75" customHeight="1">
      <c r="A22" s="21" t="s">
        <v>281</v>
      </c>
      <c r="B22" s="21" t="s">
        <v>620</v>
      </c>
      <c r="C22" s="21">
        <v>7.8</v>
      </c>
      <c r="D22" s="21">
        <v>16.08</v>
      </c>
      <c r="E22" s="21" t="s">
        <v>603</v>
      </c>
      <c r="F22" s="21"/>
      <c r="G22" s="21" t="s">
        <v>604</v>
      </c>
    </row>
    <row r="23" ht="15.75" customHeight="1">
      <c r="A23" s="21" t="s">
        <v>287</v>
      </c>
      <c r="B23" s="21" t="s">
        <v>621</v>
      </c>
      <c r="C23" s="21">
        <v>5.95</v>
      </c>
      <c r="D23" s="21">
        <v>17.43</v>
      </c>
      <c r="E23" s="21" t="s">
        <v>593</v>
      </c>
      <c r="F23" s="21" t="s">
        <v>594</v>
      </c>
      <c r="G23" s="21" t="s">
        <v>601</v>
      </c>
    </row>
    <row r="24" ht="15.75" customHeight="1">
      <c r="A24" s="21" t="s">
        <v>222</v>
      </c>
      <c r="B24" s="21" t="s">
        <v>622</v>
      </c>
      <c r="C24" s="21">
        <v>5.95</v>
      </c>
      <c r="D24" s="21">
        <v>18.0</v>
      </c>
      <c r="E24" s="21" t="s">
        <v>593</v>
      </c>
      <c r="F24" s="21" t="s">
        <v>600</v>
      </c>
      <c r="G24" s="21" t="s">
        <v>601</v>
      </c>
    </row>
    <row r="25" ht="15.75" customHeight="1">
      <c r="A25" s="21" t="s">
        <v>293</v>
      </c>
      <c r="B25" s="21" t="s">
        <v>623</v>
      </c>
      <c r="C25" s="21">
        <v>9.9</v>
      </c>
      <c r="D25" s="21">
        <v>16.4</v>
      </c>
      <c r="E25" s="21" t="s">
        <v>603</v>
      </c>
      <c r="F25" s="21"/>
      <c r="G25" s="21" t="s">
        <v>604</v>
      </c>
    </row>
    <row r="26" ht="15.75" customHeight="1">
      <c r="A26" s="21" t="s">
        <v>301</v>
      </c>
      <c r="B26" s="21" t="s">
        <v>624</v>
      </c>
      <c r="C26" s="21">
        <v>14.82</v>
      </c>
      <c r="D26" s="21">
        <v>29.27</v>
      </c>
      <c r="E26" s="21" t="s">
        <v>603</v>
      </c>
      <c r="F26" s="21"/>
      <c r="G26" s="21" t="s">
        <v>604</v>
      </c>
    </row>
    <row r="27" ht="15.75" customHeight="1">
      <c r="A27" s="21" t="s">
        <v>16</v>
      </c>
      <c r="B27" s="21" t="s">
        <v>625</v>
      </c>
      <c r="C27" s="21">
        <v>11.15</v>
      </c>
      <c r="D27" s="21">
        <v>29.5</v>
      </c>
      <c r="E27" s="21" t="s">
        <v>593</v>
      </c>
      <c r="F27" s="21" t="s">
        <v>600</v>
      </c>
      <c r="G27" s="21" t="s">
        <v>595</v>
      </c>
    </row>
    <row r="28" ht="15.75" customHeight="1">
      <c r="A28" s="21" t="s">
        <v>313</v>
      </c>
      <c r="B28" s="21" t="s">
        <v>626</v>
      </c>
      <c r="C28" s="21">
        <v>5.95</v>
      </c>
      <c r="D28" s="21">
        <v>16.09</v>
      </c>
      <c r="E28" s="21" t="s">
        <v>593</v>
      </c>
      <c r="F28" s="21" t="s">
        <v>600</v>
      </c>
      <c r="G28" s="21" t="s">
        <v>601</v>
      </c>
    </row>
    <row r="29" ht="15.75" customHeight="1">
      <c r="A29" s="21" t="s">
        <v>40</v>
      </c>
      <c r="B29" s="21" t="s">
        <v>627</v>
      </c>
      <c r="C29" s="21">
        <v>22.8</v>
      </c>
      <c r="D29" s="21">
        <v>24.3</v>
      </c>
      <c r="E29" s="21" t="s">
        <v>593</v>
      </c>
      <c r="F29" s="21" t="s">
        <v>594</v>
      </c>
      <c r="G29" s="21" t="s">
        <v>595</v>
      </c>
    </row>
    <row r="30" ht="15.75" customHeight="1">
      <c r="A30" s="21" t="s">
        <v>49</v>
      </c>
      <c r="B30" s="21" t="s">
        <v>628</v>
      </c>
      <c r="C30" s="21">
        <v>5.76</v>
      </c>
      <c r="D30" s="21">
        <v>29.99</v>
      </c>
      <c r="E30" s="21" t="s">
        <v>593</v>
      </c>
      <c r="F30" s="21" t="s">
        <v>594</v>
      </c>
      <c r="G30" s="21" t="s">
        <v>595</v>
      </c>
    </row>
    <row r="31" ht="15.75" customHeight="1">
      <c r="A31" s="21" t="s">
        <v>56</v>
      </c>
      <c r="B31" s="21" t="s">
        <v>624</v>
      </c>
      <c r="C31" s="21">
        <v>14.82</v>
      </c>
      <c r="D31" s="21">
        <v>29.27</v>
      </c>
      <c r="E31" s="21" t="s">
        <v>603</v>
      </c>
      <c r="F31" s="21"/>
      <c r="G31" s="21" t="s">
        <v>604</v>
      </c>
    </row>
    <row r="32" ht="15.75" customHeight="1">
      <c r="A32" s="21" t="s">
        <v>120</v>
      </c>
      <c r="B32" s="21" t="s">
        <v>629</v>
      </c>
      <c r="C32" s="21">
        <v>6.95</v>
      </c>
      <c r="D32" s="21">
        <v>14.75</v>
      </c>
      <c r="E32" s="21" t="s">
        <v>593</v>
      </c>
      <c r="F32" s="21" t="s">
        <v>600</v>
      </c>
      <c r="G32" s="21" t="s">
        <v>601</v>
      </c>
    </row>
    <row r="33" ht="15.75" customHeight="1">
      <c r="A33" s="21" t="s">
        <v>142</v>
      </c>
      <c r="B33" s="21" t="s">
        <v>630</v>
      </c>
      <c r="C33" s="21">
        <v>8.2</v>
      </c>
      <c r="D33" s="21">
        <v>27.22</v>
      </c>
      <c r="E33" s="21" t="s">
        <v>603</v>
      </c>
      <c r="F33" s="21"/>
      <c r="G33" s="21" t="s">
        <v>604</v>
      </c>
    </row>
    <row r="34" ht="15.75" customHeight="1">
      <c r="A34" s="21" t="s">
        <v>161</v>
      </c>
      <c r="B34" s="21" t="s">
        <v>631</v>
      </c>
      <c r="C34" s="21">
        <v>5.99</v>
      </c>
      <c r="D34" s="21">
        <v>7.18</v>
      </c>
      <c r="E34" s="21" t="s">
        <v>615</v>
      </c>
      <c r="F34" s="21" t="s">
        <v>616</v>
      </c>
      <c r="G34" s="21" t="s">
        <v>601</v>
      </c>
    </row>
    <row r="35" ht="15.75" customHeight="1">
      <c r="A35" s="21" t="s">
        <v>30</v>
      </c>
      <c r="B35" s="21" t="s">
        <v>632</v>
      </c>
      <c r="C35" s="21">
        <v>6.2</v>
      </c>
      <c r="D35" s="21">
        <v>16.34</v>
      </c>
      <c r="E35" s="21" t="s">
        <v>615</v>
      </c>
      <c r="F35" s="21" t="s">
        <v>633</v>
      </c>
      <c r="G35" s="21" t="s">
        <v>595</v>
      </c>
    </row>
    <row r="36" ht="15.75" customHeight="1">
      <c r="A36" s="21" t="s">
        <v>80</v>
      </c>
      <c r="B36" s="21" t="s">
        <v>634</v>
      </c>
      <c r="C36" s="21">
        <v>6.2</v>
      </c>
      <c r="D36" s="21">
        <v>16.34</v>
      </c>
      <c r="E36" s="21" t="s">
        <v>597</v>
      </c>
      <c r="F36" s="21" t="s">
        <v>635</v>
      </c>
      <c r="G36" s="21" t="s">
        <v>601</v>
      </c>
    </row>
    <row r="37" ht="15.75" customHeight="1">
      <c r="A37" s="21" t="s">
        <v>101</v>
      </c>
      <c r="B37" s="21" t="s">
        <v>636</v>
      </c>
      <c r="C37" s="21">
        <v>5.95</v>
      </c>
      <c r="D37" s="21">
        <v>16.09</v>
      </c>
      <c r="E37" s="21" t="s">
        <v>597</v>
      </c>
      <c r="F37" s="21" t="s">
        <v>635</v>
      </c>
      <c r="G37" s="21" t="s">
        <v>601</v>
      </c>
    </row>
    <row r="38" ht="15.75" customHeight="1">
      <c r="A38" s="21" t="s">
        <v>108</v>
      </c>
      <c r="B38" s="21" t="s">
        <v>637</v>
      </c>
      <c r="C38" s="21">
        <v>7.73</v>
      </c>
      <c r="D38" s="21">
        <v>16.09</v>
      </c>
      <c r="E38" s="21" t="s">
        <v>597</v>
      </c>
      <c r="F38" s="21" t="s">
        <v>635</v>
      </c>
      <c r="G38" s="21" t="s">
        <v>601</v>
      </c>
    </row>
    <row r="39" ht="15.75" customHeight="1">
      <c r="A39" s="21" t="s">
        <v>127</v>
      </c>
      <c r="B39" s="21" t="s">
        <v>638</v>
      </c>
      <c r="C39" s="21">
        <v>5.95</v>
      </c>
      <c r="D39" s="21">
        <v>16.09</v>
      </c>
      <c r="E39" s="21" t="s">
        <v>593</v>
      </c>
      <c r="F39" s="21" t="s">
        <v>600</v>
      </c>
      <c r="G39" s="21" t="s">
        <v>601</v>
      </c>
    </row>
    <row r="40" ht="15.75" customHeight="1">
      <c r="A40" s="21" t="s">
        <v>131</v>
      </c>
      <c r="B40" s="21" t="s">
        <v>639</v>
      </c>
      <c r="C40" s="21">
        <v>6.4</v>
      </c>
      <c r="D40" s="21">
        <v>16.3</v>
      </c>
      <c r="E40" s="21" t="s">
        <v>597</v>
      </c>
      <c r="F40" s="21" t="s">
        <v>635</v>
      </c>
      <c r="G40" s="21" t="s">
        <v>601</v>
      </c>
    </row>
    <row r="41" ht="15.75" customHeight="1">
      <c r="A41" s="21" t="s">
        <v>180</v>
      </c>
      <c r="B41" s="21" t="s">
        <v>640</v>
      </c>
      <c r="C41" s="21">
        <v>6.84</v>
      </c>
      <c r="D41" s="21">
        <v>16.34</v>
      </c>
      <c r="E41" s="21" t="s">
        <v>593</v>
      </c>
      <c r="F41" s="21" t="s">
        <v>600</v>
      </c>
      <c r="G41" s="21" t="s">
        <v>601</v>
      </c>
    </row>
    <row r="42" ht="15.75" customHeight="1">
      <c r="A42" s="21" t="s">
        <v>137</v>
      </c>
      <c r="B42" s="21" t="s">
        <v>641</v>
      </c>
      <c r="C42" s="21">
        <v>6.7</v>
      </c>
      <c r="D42" s="21">
        <v>16.84</v>
      </c>
      <c r="E42" s="21" t="s">
        <v>593</v>
      </c>
      <c r="F42" s="21" t="s">
        <v>600</v>
      </c>
      <c r="G42" s="21" t="s">
        <v>601</v>
      </c>
    </row>
    <row r="43" ht="15.75" customHeight="1">
      <c r="A43" s="21" t="s">
        <v>188</v>
      </c>
      <c r="B43" s="21" t="s">
        <v>642</v>
      </c>
      <c r="C43" s="21">
        <v>5.95</v>
      </c>
      <c r="D43" s="21">
        <v>16.09</v>
      </c>
      <c r="E43" s="21" t="s">
        <v>593</v>
      </c>
      <c r="F43" s="21" t="s">
        <v>600</v>
      </c>
      <c r="G43" s="21" t="s">
        <v>601</v>
      </c>
    </row>
    <row r="44" ht="15.75" customHeight="1">
      <c r="A44" s="21" t="s">
        <v>215</v>
      </c>
      <c r="B44" s="21" t="s">
        <v>643</v>
      </c>
      <c r="C44" s="21">
        <v>5.7</v>
      </c>
      <c r="D44" s="21">
        <v>15.84</v>
      </c>
      <c r="E44" s="21" t="s">
        <v>593</v>
      </c>
      <c r="F44" s="21" t="s">
        <v>594</v>
      </c>
      <c r="G44" s="21" t="s">
        <v>601</v>
      </c>
    </row>
    <row r="45" ht="15.75" customHeight="1">
      <c r="A45" s="21" t="s">
        <v>205</v>
      </c>
      <c r="B45" s="21" t="s">
        <v>644</v>
      </c>
      <c r="C45" s="21">
        <v>6.2</v>
      </c>
      <c r="D45" s="21">
        <v>16.34</v>
      </c>
      <c r="E45" s="21" t="s">
        <v>597</v>
      </c>
      <c r="F45" s="21" t="s">
        <v>635</v>
      </c>
      <c r="G45" s="21" t="s">
        <v>601</v>
      </c>
    </row>
    <row r="46" ht="15.75" customHeight="1">
      <c r="A46" s="21" t="s">
        <v>232</v>
      </c>
      <c r="B46" s="21" t="s">
        <v>645</v>
      </c>
      <c r="C46" s="21">
        <v>6.4</v>
      </c>
      <c r="D46" s="21">
        <v>16.95</v>
      </c>
      <c r="E46" s="21" t="s">
        <v>593</v>
      </c>
      <c r="F46" s="21" t="s">
        <v>600</v>
      </c>
      <c r="G46" s="21" t="s">
        <v>601</v>
      </c>
    </row>
    <row r="47" ht="15.75" customHeight="1">
      <c r="A47" s="21" t="s">
        <v>241</v>
      </c>
      <c r="B47" s="21" t="s">
        <v>646</v>
      </c>
      <c r="C47" s="21">
        <v>5.45</v>
      </c>
      <c r="D47" s="21">
        <v>10.3</v>
      </c>
      <c r="E47" s="21" t="s">
        <v>615</v>
      </c>
      <c r="F47" s="21" t="s">
        <v>616</v>
      </c>
      <c r="G47" s="21" t="s">
        <v>601</v>
      </c>
    </row>
    <row r="48" ht="15.75" customHeight="1">
      <c r="A48" s="21" t="s">
        <v>265</v>
      </c>
      <c r="B48" s="21" t="s">
        <v>647</v>
      </c>
      <c r="C48" s="21">
        <v>5.39</v>
      </c>
      <c r="D48" s="21">
        <v>9.84</v>
      </c>
      <c r="E48" s="21" t="s">
        <v>593</v>
      </c>
      <c r="F48" s="21" t="s">
        <v>594</v>
      </c>
      <c r="G48" s="21" t="s">
        <v>601</v>
      </c>
    </row>
    <row r="49" ht="15.75" customHeight="1">
      <c r="A49" s="21" t="s">
        <v>272</v>
      </c>
      <c r="B49" s="21" t="s">
        <v>648</v>
      </c>
      <c r="C49" s="21">
        <v>6.2</v>
      </c>
      <c r="D49" s="21">
        <v>16.34</v>
      </c>
      <c r="E49" s="21" t="s">
        <v>593</v>
      </c>
      <c r="F49" s="21" t="s">
        <v>600</v>
      </c>
      <c r="G49" s="21" t="s">
        <v>601</v>
      </c>
    </row>
    <row r="50" ht="15.75" customHeight="1">
      <c r="A50" s="21" t="s">
        <v>309</v>
      </c>
      <c r="B50" s="21" t="s">
        <v>610</v>
      </c>
      <c r="C50" s="21">
        <v>5.95</v>
      </c>
      <c r="D50" s="21">
        <v>16.09</v>
      </c>
      <c r="E50" s="21" t="s">
        <v>603</v>
      </c>
      <c r="F50" s="21"/>
      <c r="G50" s="21" t="s">
        <v>604</v>
      </c>
    </row>
    <row r="51" ht="15.75" customHeight="1">
      <c r="A51" s="21" t="s">
        <v>305</v>
      </c>
      <c r="B51" s="21" t="s">
        <v>649</v>
      </c>
      <c r="C51" s="21">
        <v>6.2</v>
      </c>
      <c r="D51" s="21">
        <v>16.34</v>
      </c>
      <c r="E51" s="21" t="s">
        <v>593</v>
      </c>
      <c r="F51" s="21" t="s">
        <v>600</v>
      </c>
      <c r="G51" s="21" t="s">
        <v>601</v>
      </c>
    </row>
    <row r="52" ht="15.75" customHeight="1">
      <c r="A52" s="21" t="s">
        <v>317</v>
      </c>
      <c r="B52" s="21" t="s">
        <v>650</v>
      </c>
      <c r="C52" s="21">
        <v>6.18</v>
      </c>
      <c r="D52" s="21">
        <v>14.7</v>
      </c>
      <c r="E52" s="21" t="s">
        <v>615</v>
      </c>
      <c r="F52" s="21" t="s">
        <v>616</v>
      </c>
      <c r="G52" s="21" t="s">
        <v>601</v>
      </c>
    </row>
    <row r="53" ht="15.75" customHeight="1">
      <c r="A53" s="21" t="s">
        <v>322</v>
      </c>
      <c r="B53" s="21" t="s">
        <v>651</v>
      </c>
      <c r="C53" s="21">
        <v>5.7</v>
      </c>
      <c r="D53" s="21">
        <v>15.84</v>
      </c>
      <c r="E53" s="21" t="s">
        <v>615</v>
      </c>
      <c r="F53" s="21" t="s">
        <v>616</v>
      </c>
      <c r="G53" s="21" t="s">
        <v>601</v>
      </c>
    </row>
    <row r="54" ht="15.75" customHeight="1">
      <c r="A54" s="21" t="s">
        <v>155</v>
      </c>
      <c r="B54" s="21" t="s">
        <v>652</v>
      </c>
      <c r="C54" s="21">
        <v>5.24</v>
      </c>
      <c r="D54" s="21">
        <v>13.97</v>
      </c>
      <c r="E54" s="21" t="s">
        <v>593</v>
      </c>
      <c r="F54" s="21" t="s">
        <v>618</v>
      </c>
      <c r="G54" s="21" t="s">
        <v>595</v>
      </c>
    </row>
    <row r="55" ht="15.75" customHeight="1">
      <c r="A55" s="21" t="s">
        <v>66</v>
      </c>
      <c r="B55" s="21" t="s">
        <v>653</v>
      </c>
      <c r="C55" s="21">
        <v>9.82</v>
      </c>
      <c r="D55" s="21">
        <v>18.91</v>
      </c>
      <c r="E55" s="21" t="s">
        <v>603</v>
      </c>
      <c r="F55" s="21"/>
      <c r="G55" s="21" t="s">
        <v>604</v>
      </c>
    </row>
    <row r="56" ht="15.75" customHeight="1">
      <c r="A56" s="21" t="s">
        <v>192</v>
      </c>
      <c r="B56" s="21" t="s">
        <v>654</v>
      </c>
      <c r="C56" s="21">
        <v>7.17</v>
      </c>
      <c r="D56" s="21">
        <v>16.53</v>
      </c>
      <c r="E56" s="21" t="s">
        <v>593</v>
      </c>
      <c r="F56" s="21" t="s">
        <v>594</v>
      </c>
      <c r="G56" s="21" t="s">
        <v>595</v>
      </c>
    </row>
    <row r="57" ht="15.75" customHeight="1"/>
    <row r="58" ht="15.75" customHeight="1">
      <c r="A58" s="22" t="s">
        <v>655</v>
      </c>
    </row>
    <row r="59" ht="15.75" customHeight="1">
      <c r="A59" s="23" t="s">
        <v>593</v>
      </c>
      <c r="B59" s="23">
        <v>27.0</v>
      </c>
    </row>
    <row r="60" ht="15.75" customHeight="1">
      <c r="A60" s="23" t="s">
        <v>597</v>
      </c>
      <c r="B60" s="23">
        <v>6.0</v>
      </c>
    </row>
    <row r="61" ht="15.75" customHeight="1">
      <c r="A61" s="23" t="s">
        <v>615</v>
      </c>
      <c r="B61" s="23">
        <v>6.0</v>
      </c>
    </row>
    <row r="62" ht="15.75" customHeight="1">
      <c r="A62" s="23" t="s">
        <v>603</v>
      </c>
      <c r="B62" s="23">
        <v>12.0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1.0" footer="0.0" header="0.0" left="0.75" right="0.75" top="1.0"/>
  <pageSetup orientation="landscape"/>
  <drawing r:id="rId1"/>
</worksheet>
</file>